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inur\OneDrive\Documents\Data Analytics\Academica\финальный проект\excel\"/>
    </mc:Choice>
  </mc:AlternateContent>
  <xr:revisionPtr revIDLastSave="0" documentId="13_ncr:1_{699E4DEE-C933-48BC-9EEB-9FF40DB65BE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Лист1" sheetId="1" r:id="rId1"/>
    <sheet name="Лист2" sheetId="2" r:id="rId2"/>
    <sheet name="Сводная таблица" sheetId="3" r:id="rId3"/>
    <sheet name="Диаграмма" sheetId="9" r:id="rId4"/>
  </sheet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 a="1"/>
  <c r="G4" i="1" a="1"/>
  <c r="G5" i="1" a="1"/>
  <c r="G6" i="1" a="1"/>
  <c r="G7" i="1" a="1"/>
  <c r="G8" i="1" a="1"/>
  <c r="G9" i="1" a="1"/>
  <c r="G10" i="1" a="1"/>
  <c r="G11" i="1" a="1"/>
  <c r="G12" i="1" a="1"/>
  <c r="G13" i="1" a="1"/>
  <c r="G14" i="1" a="1"/>
  <c r="G15" i="1" a="1"/>
  <c r="G16" i="1" a="1"/>
  <c r="G17" i="1" a="1"/>
  <c r="G18" i="1" a="1"/>
  <c r="G19" i="1" a="1"/>
  <c r="G20" i="1" a="1"/>
  <c r="G21" i="1" a="1"/>
  <c r="G22" i="1" a="1"/>
  <c r="G23" i="1" a="1"/>
  <c r="G24" i="1" a="1"/>
  <c r="G25" i="1" a="1"/>
  <c r="G26" i="1" a="1"/>
  <c r="G27" i="1" a="1"/>
  <c r="G28" i="1" a="1"/>
  <c r="G29" i="1" a="1"/>
  <c r="G30" i="1" a="1"/>
  <c r="G31" i="1" a="1"/>
  <c r="G32" i="1" a="1"/>
  <c r="G33" i="1" a="1"/>
  <c r="G34" i="1" a="1"/>
  <c r="G35" i="1" a="1"/>
  <c r="G36" i="1" a="1"/>
  <c r="G37" i="1" a="1"/>
  <c r="G38" i="1" a="1"/>
  <c r="G39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55" i="1" a="1"/>
  <c r="G56" i="1" a="1"/>
  <c r="G57" i="1" a="1"/>
  <c r="G58" i="1" a="1"/>
  <c r="G59" i="1" a="1"/>
  <c r="G60" i="1" a="1"/>
  <c r="G61" i="1" a="1"/>
  <c r="G62" i="1" a="1"/>
  <c r="G63" i="1" a="1"/>
  <c r="G64" i="1" a="1"/>
  <c r="G65" i="1" a="1"/>
  <c r="G66" i="1" a="1"/>
  <c r="G67" i="1" a="1"/>
  <c r="G68" i="1" a="1"/>
  <c r="G69" i="1" a="1"/>
  <c r="G70" i="1" a="1"/>
  <c r="G71" i="1" a="1"/>
  <c r="G72" i="1" a="1"/>
  <c r="G73" i="1" a="1"/>
  <c r="G74" i="1" a="1"/>
  <c r="G75" i="1" a="1"/>
  <c r="G76" i="1" a="1"/>
  <c r="G77" i="1" a="1"/>
  <c r="G78" i="1" a="1"/>
  <c r="G79" i="1" a="1"/>
  <c r="G80" i="1" a="1"/>
  <c r="G81" i="1" a="1"/>
  <c r="G82" i="1" a="1"/>
  <c r="G83" i="1" a="1"/>
  <c r="G84" i="1" a="1"/>
  <c r="G85" i="1" a="1"/>
  <c r="G86" i="1" a="1"/>
  <c r="G87" i="1" a="1"/>
  <c r="G88" i="1" a="1"/>
  <c r="G89" i="1" a="1"/>
  <c r="G90" i="1" a="1"/>
  <c r="G91" i="1" a="1"/>
  <c r="G92" i="1" a="1"/>
  <c r="G93" i="1" a="1"/>
  <c r="G94" i="1" a="1"/>
  <c r="G95" i="1" a="1"/>
  <c r="G96" i="1" a="1"/>
  <c r="G97" i="1" a="1"/>
  <c r="G98" i="1" a="1"/>
  <c r="G99" i="1" a="1"/>
  <c r="G100" i="1" a="1"/>
  <c r="G101" i="1" a="1"/>
  <c r="G102" i="1" a="1"/>
  <c r="G103" i="1" a="1"/>
  <c r="G104" i="1" a="1"/>
  <c r="G105" i="1" a="1"/>
  <c r="G106" i="1" a="1"/>
  <c r="G107" i="1" a="1"/>
  <c r="G108" i="1" a="1"/>
  <c r="G109" i="1" a="1"/>
  <c r="G110" i="1" a="1"/>
  <c r="G111" i="1" a="1"/>
  <c r="G112" i="1" a="1"/>
  <c r="G113" i="1" a="1"/>
  <c r="G114" i="1" a="1"/>
  <c r="G115" i="1" a="1"/>
  <c r="G116" i="1" a="1"/>
  <c r="G117" i="1" a="1"/>
  <c r="G118" i="1" a="1"/>
  <c r="G119" i="1" a="1"/>
  <c r="G120" i="1" a="1"/>
  <c r="G121" i="1" a="1"/>
  <c r="G122" i="1" a="1"/>
  <c r="G123" i="1" a="1"/>
  <c r="G124" i="1" a="1"/>
  <c r="G125" i="1" a="1"/>
  <c r="G126" i="1" a="1"/>
  <c r="G127" i="1" a="1"/>
  <c r="G128" i="1" a="1"/>
  <c r="G129" i="1" a="1"/>
  <c r="G130" i="1" a="1"/>
  <c r="G131" i="1" a="1"/>
  <c r="G132" i="1" a="1"/>
  <c r="G133" i="1" a="1"/>
  <c r="G134" i="1" a="1"/>
  <c r="G135" i="1" a="1"/>
  <c r="G136" i="1" a="1"/>
  <c r="G137" i="1" a="1"/>
  <c r="G138" i="1" a="1"/>
  <c r="G139" i="1" a="1"/>
  <c r="G140" i="1" a="1"/>
  <c r="G141" i="1" a="1"/>
  <c r="G142" i="1" a="1"/>
  <c r="G143" i="1" a="1"/>
  <c r="G144" i="1" a="1"/>
  <c r="G145" i="1" a="1"/>
  <c r="G146" i="1" a="1"/>
  <c r="G147" i="1" a="1"/>
  <c r="G148" i="1" a="1"/>
  <c r="G149" i="1" a="1"/>
  <c r="G150" i="1" a="1"/>
  <c r="G151" i="1" a="1"/>
  <c r="G152" i="1" a="1"/>
  <c r="G153" i="1" a="1"/>
  <c r="G154" i="1" a="1"/>
  <c r="G155" i="1" a="1"/>
  <c r="G156" i="1" a="1"/>
  <c r="G157" i="1" a="1"/>
  <c r="G158" i="1" a="1"/>
  <c r="G159" i="1" a="1"/>
  <c r="G160" i="1" a="1"/>
  <c r="G161" i="1" a="1"/>
  <c r="G162" i="1" a="1"/>
  <c r="G163" i="1" a="1"/>
  <c r="G164" i="1" a="1"/>
  <c r="G165" i="1" a="1"/>
  <c r="G166" i="1" a="1"/>
  <c r="G167" i="1" a="1"/>
  <c r="G168" i="1" a="1"/>
  <c r="G169" i="1" a="1"/>
  <c r="G170" i="1" a="1"/>
  <c r="G171" i="1" a="1"/>
  <c r="G172" i="1" a="1"/>
  <c r="G173" i="1" a="1"/>
  <c r="G174" i="1" a="1"/>
  <c r="G175" i="1" a="1"/>
  <c r="G176" i="1" a="1"/>
  <c r="G177" i="1" a="1"/>
  <c r="G178" i="1" a="1"/>
  <c r="G179" i="1" a="1"/>
  <c r="G180" i="1" a="1"/>
  <c r="G181" i="1" a="1"/>
  <c r="G182" i="1" a="1"/>
  <c r="G183" i="1" a="1"/>
  <c r="G184" i="1" a="1"/>
  <c r="G185" i="1" a="1"/>
  <c r="G186" i="1" a="1"/>
  <c r="G187" i="1" a="1"/>
  <c r="G188" i="1" a="1"/>
  <c r="G189" i="1" a="1"/>
  <c r="G190" i="1" a="1"/>
  <c r="G191" i="1" a="1"/>
  <c r="G192" i="1" a="1"/>
  <c r="G193" i="1" a="1"/>
  <c r="G194" i="1" a="1"/>
  <c r="G195" i="1" a="1"/>
  <c r="G196" i="1" a="1"/>
  <c r="G197" i="1" a="1"/>
  <c r="G198" i="1" a="1"/>
  <c r="G199" i="1" a="1"/>
  <c r="G200" i="1" a="1"/>
  <c r="G201" i="1" a="1"/>
  <c r="G202" i="1" a="1"/>
  <c r="G203" i="1" a="1"/>
  <c r="G204" i="1" a="1"/>
  <c r="G205" i="1" a="1"/>
  <c r="G206" i="1" a="1"/>
  <c r="G207" i="1" a="1"/>
  <c r="G208" i="1" a="1"/>
  <c r="G209" i="1" a="1"/>
  <c r="G210" i="1" a="1"/>
  <c r="G211" i="1" a="1"/>
  <c r="G212" i="1" a="1"/>
  <c r="G213" i="1" a="1"/>
  <c r="G214" i="1" a="1"/>
  <c r="G215" i="1" a="1"/>
  <c r="G216" i="1" a="1"/>
  <c r="G217" i="1" a="1"/>
  <c r="G218" i="1" a="1"/>
  <c r="G219" i="1" a="1"/>
  <c r="G220" i="1" a="1"/>
  <c r="G221" i="1" a="1"/>
  <c r="G222" i="1" a="1"/>
  <c r="G223" i="1" a="1"/>
  <c r="G224" i="1" a="1"/>
  <c r="G225" i="1" a="1"/>
  <c r="G226" i="1" a="1"/>
  <c r="G227" i="1" a="1"/>
  <c r="G228" i="1" a="1"/>
  <c r="G229" i="1" a="1"/>
  <c r="G230" i="1" a="1"/>
  <c r="G231" i="1" a="1"/>
  <c r="G232" i="1" a="1"/>
  <c r="G233" i="1" a="1"/>
  <c r="G234" i="1" a="1"/>
  <c r="G235" i="1" a="1"/>
  <c r="G236" i="1" a="1"/>
  <c r="G237" i="1" a="1"/>
  <c r="G238" i="1" a="1"/>
  <c r="G239" i="1" a="1"/>
  <c r="G240" i="1" a="1"/>
  <c r="G241" i="1" a="1"/>
  <c r="G242" i="1" a="1"/>
  <c r="G243" i="1" a="1"/>
  <c r="G244" i="1" a="1"/>
  <c r="G245" i="1" a="1"/>
  <c r="G246" i="1" a="1"/>
  <c r="G247" i="1" a="1"/>
  <c r="G248" i="1" a="1"/>
  <c r="G249" i="1" a="1"/>
  <c r="G250" i="1" a="1"/>
  <c r="G251" i="1" a="1"/>
  <c r="G252" i="1" a="1"/>
  <c r="G253" i="1" a="1"/>
  <c r="G254" i="1" a="1"/>
  <c r="G255" i="1" a="1"/>
  <c r="G256" i="1" a="1"/>
  <c r="G257" i="1" a="1"/>
  <c r="G258" i="1" a="1"/>
  <c r="G259" i="1" a="1"/>
  <c r="G260" i="1" a="1"/>
  <c r="G261" i="1" a="1"/>
  <c r="G262" i="1" a="1"/>
  <c r="G263" i="1" a="1"/>
  <c r="G264" i="1" a="1"/>
  <c r="G265" i="1" a="1"/>
  <c r="G266" i="1" a="1"/>
  <c r="G267" i="1" a="1"/>
  <c r="G268" i="1" a="1"/>
  <c r="G269" i="1" a="1"/>
  <c r="G270" i="1" a="1"/>
  <c r="G271" i="1" a="1"/>
  <c r="G272" i="1" a="1"/>
  <c r="G273" i="1" a="1"/>
  <c r="G274" i="1" a="1"/>
  <c r="G275" i="1" a="1"/>
  <c r="G276" i="1" a="1"/>
  <c r="G277" i="1" a="1"/>
  <c r="G278" i="1" a="1"/>
  <c r="G279" i="1" a="1"/>
  <c r="G280" i="1" a="1"/>
  <c r="G281" i="1" a="1"/>
  <c r="G282" i="1" a="1"/>
  <c r="G283" i="1" a="1"/>
  <c r="G284" i="1" a="1"/>
  <c r="G285" i="1" a="1"/>
  <c r="G286" i="1" a="1"/>
  <c r="G287" i="1" a="1"/>
  <c r="G288" i="1" a="1"/>
  <c r="G289" i="1" a="1"/>
  <c r="G290" i="1" a="1"/>
  <c r="G291" i="1" a="1"/>
  <c r="G292" i="1" a="1"/>
  <c r="G293" i="1" a="1"/>
  <c r="G294" i="1" a="1"/>
  <c r="G295" i="1" a="1"/>
  <c r="G296" i="1" a="1"/>
  <c r="G297" i="1" a="1"/>
  <c r="G298" i="1" a="1"/>
  <c r="G299" i="1" a="1"/>
  <c r="G300" i="1" a="1"/>
  <c r="G301" i="1" a="1"/>
  <c r="G302" i="1" a="1"/>
  <c r="G303" i="1" a="1"/>
  <c r="G304" i="1" a="1"/>
  <c r="G305" i="1" a="1"/>
  <c r="G306" i="1" a="1"/>
  <c r="G307" i="1" a="1"/>
  <c r="G308" i="1" a="1"/>
  <c r="G309" i="1" a="1"/>
  <c r="G310" i="1" a="1"/>
  <c r="G311" i="1" a="1"/>
  <c r="G312" i="1" a="1"/>
  <c r="G313" i="1" a="1"/>
  <c r="G314" i="1" a="1"/>
  <c r="G315" i="1" a="1"/>
  <c r="G316" i="1" a="1"/>
  <c r="G317" i="1" a="1"/>
  <c r="G318" i="1" a="1"/>
  <c r="G319" i="1" a="1"/>
  <c r="G320" i="1" a="1"/>
  <c r="G321" i="1" a="1"/>
  <c r="G322" i="1" a="1"/>
  <c r="G323" i="1" a="1"/>
  <c r="G324" i="1" a="1"/>
  <c r="G325" i="1" a="1"/>
  <c r="G326" i="1" a="1"/>
  <c r="G327" i="1" a="1"/>
  <c r="G328" i="1" a="1"/>
  <c r="G329" i="1" a="1"/>
  <c r="G330" i="1" a="1"/>
  <c r="G331" i="1" a="1"/>
  <c r="G332" i="1" a="1"/>
  <c r="G333" i="1" a="1"/>
  <c r="G334" i="1" a="1"/>
  <c r="G335" i="1" a="1"/>
  <c r="G336" i="1" a="1"/>
  <c r="G337" i="1" a="1"/>
  <c r="G338" i="1" a="1"/>
  <c r="G339" i="1" a="1"/>
  <c r="G340" i="1" a="1"/>
  <c r="G341" i="1" a="1"/>
  <c r="G342" i="1" a="1"/>
  <c r="G343" i="1" a="1"/>
  <c r="G344" i="1" a="1"/>
  <c r="G345" i="1" a="1"/>
  <c r="G346" i="1" a="1"/>
  <c r="G347" i="1" a="1"/>
  <c r="G348" i="1" a="1"/>
  <c r="G349" i="1" a="1"/>
  <c r="G350" i="1" a="1"/>
  <c r="G351" i="1" a="1"/>
  <c r="G352" i="1" a="1"/>
  <c r="G353" i="1" a="1"/>
  <c r="G354" i="1" a="1"/>
  <c r="G355" i="1" a="1"/>
  <c r="G356" i="1" a="1"/>
  <c r="G357" i="1" a="1"/>
  <c r="G358" i="1" a="1"/>
  <c r="G359" i="1" a="1"/>
  <c r="G360" i="1" a="1"/>
  <c r="G361" i="1" a="1"/>
  <c r="G362" i="1" a="1"/>
  <c r="G363" i="1" a="1"/>
  <c r="G364" i="1" a="1"/>
  <c r="G365" i="1" a="1"/>
  <c r="G366" i="1" a="1"/>
  <c r="G367" i="1" a="1"/>
  <c r="G368" i="1" a="1"/>
  <c r="G369" i="1" a="1"/>
  <c r="G370" i="1" a="1"/>
  <c r="G371" i="1" a="1"/>
  <c r="G372" i="1" a="1"/>
  <c r="G373" i="1" a="1"/>
  <c r="G374" i="1" a="1"/>
  <c r="G375" i="1" a="1"/>
  <c r="G376" i="1" a="1"/>
  <c r="G377" i="1" a="1"/>
  <c r="G378" i="1" a="1"/>
  <c r="G379" i="1" a="1"/>
  <c r="G380" i="1" a="1"/>
  <c r="G381" i="1" a="1"/>
  <c r="G382" i="1" a="1"/>
  <c r="G383" i="1" a="1"/>
  <c r="G384" i="1" a="1"/>
  <c r="G385" i="1" a="1"/>
  <c r="G386" i="1" a="1"/>
  <c r="G387" i="1" a="1"/>
  <c r="G388" i="1" a="1"/>
  <c r="G389" i="1" a="1"/>
  <c r="G390" i="1" a="1"/>
  <c r="G391" i="1" a="1"/>
  <c r="G392" i="1" a="1"/>
  <c r="G393" i="1" a="1"/>
  <c r="G394" i="1" a="1"/>
  <c r="G395" i="1" a="1"/>
  <c r="G396" i="1" a="1"/>
  <c r="G397" i="1" a="1"/>
  <c r="G398" i="1" a="1"/>
  <c r="G399" i="1" a="1"/>
  <c r="G400" i="1" a="1"/>
  <c r="G401" i="1" a="1"/>
  <c r="G402" i="1" a="1"/>
  <c r="G403" i="1" a="1"/>
  <c r="G404" i="1" a="1"/>
  <c r="G405" i="1" a="1"/>
  <c r="G406" i="1" a="1"/>
  <c r="G407" i="1" a="1"/>
  <c r="G408" i="1" a="1"/>
  <c r="G409" i="1" a="1"/>
  <c r="G410" i="1" a="1"/>
  <c r="G411" i="1" a="1"/>
  <c r="G412" i="1" a="1"/>
  <c r="G413" i="1" a="1"/>
  <c r="G414" i="1" a="1"/>
  <c r="G415" i="1" a="1"/>
  <c r="G416" i="1" a="1"/>
  <c r="G417" i="1" a="1"/>
  <c r="G418" i="1" a="1"/>
  <c r="G419" i="1" a="1"/>
  <c r="G420" i="1" a="1"/>
  <c r="G421" i="1" a="1"/>
  <c r="G422" i="1" a="1"/>
  <c r="G423" i="1" a="1"/>
  <c r="G424" i="1" a="1"/>
  <c r="G425" i="1" a="1"/>
  <c r="G426" i="1" a="1"/>
  <c r="G427" i="1" a="1"/>
  <c r="G428" i="1" a="1"/>
  <c r="G429" i="1" a="1"/>
  <c r="G430" i="1" a="1"/>
  <c r="G431" i="1" a="1"/>
  <c r="G432" i="1" a="1"/>
  <c r="G433" i="1" a="1"/>
  <c r="G434" i="1" a="1"/>
  <c r="G435" i="1" a="1"/>
  <c r="G436" i="1" a="1"/>
  <c r="G437" i="1" a="1"/>
  <c r="G438" i="1" a="1"/>
  <c r="G439" i="1" a="1"/>
  <c r="G440" i="1" a="1"/>
  <c r="G441" i="1" a="1"/>
  <c r="G442" i="1" a="1"/>
  <c r="G443" i="1" a="1"/>
  <c r="G444" i="1" a="1"/>
  <c r="G445" i="1" a="1"/>
  <c r="G446" i="1" a="1"/>
  <c r="G447" i="1" a="1"/>
  <c r="G448" i="1" a="1"/>
  <c r="G449" i="1" a="1"/>
  <c r="G450" i="1" a="1"/>
  <c r="G451" i="1" a="1"/>
  <c r="G452" i="1" a="1"/>
  <c r="G453" i="1" a="1"/>
  <c r="G454" i="1" a="1"/>
  <c r="G455" i="1" a="1"/>
  <c r="G456" i="1" a="1"/>
  <c r="G457" i="1" a="1"/>
  <c r="G458" i="1" a="1"/>
  <c r="G459" i="1" a="1"/>
  <c r="G460" i="1" a="1"/>
  <c r="G461" i="1" a="1"/>
  <c r="G462" i="1" a="1"/>
  <c r="G463" i="1" a="1"/>
  <c r="G464" i="1" a="1"/>
  <c r="G465" i="1" a="1"/>
  <c r="G466" i="1" a="1"/>
  <c r="G467" i="1" a="1"/>
  <c r="G468" i="1" a="1"/>
  <c r="G469" i="1" a="1"/>
  <c r="G470" i="1" a="1"/>
  <c r="G471" i="1" a="1"/>
  <c r="G472" i="1" a="1"/>
  <c r="G473" i="1" a="1"/>
  <c r="G474" i="1" a="1"/>
  <c r="G475" i="1" a="1"/>
  <c r="G476" i="1" a="1"/>
  <c r="G477" i="1" a="1"/>
  <c r="G478" i="1" a="1"/>
  <c r="G479" i="1" a="1"/>
  <c r="G480" i="1" a="1"/>
  <c r="G481" i="1" a="1"/>
  <c r="G482" i="1" a="1"/>
  <c r="G483" i="1" a="1"/>
  <c r="G484" i="1" a="1"/>
  <c r="G485" i="1" a="1"/>
  <c r="G486" i="1" a="1"/>
  <c r="G487" i="1" a="1"/>
  <c r="G488" i="1" a="1"/>
  <c r="G489" i="1" a="1"/>
  <c r="G490" i="1" a="1"/>
  <c r="G491" i="1" a="1"/>
  <c r="G492" i="1" a="1"/>
  <c r="G493" i="1" a="1"/>
  <c r="G494" i="1" a="1"/>
  <c r="G495" i="1" a="1"/>
  <c r="G496" i="1" a="1"/>
  <c r="G497" i="1" a="1"/>
  <c r="G498" i="1" a="1"/>
  <c r="G499" i="1" a="1"/>
  <c r="G500" i="1" a="1"/>
  <c r="G501" i="1" a="1"/>
  <c r="G502" i="1" a="1"/>
  <c r="G503" i="1" a="1"/>
  <c r="G504" i="1" a="1"/>
  <c r="G505" i="1" a="1"/>
  <c r="G2" i="1" a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2" i="1" a="1"/>
  <c r="E2" i="1" a="1"/>
  <c r="E3" i="1" a="1"/>
  <c r="E4" i="1" a="1"/>
  <c r="E5" i="1" a="1"/>
  <c r="E6" i="1" a="1"/>
  <c r="E7" i="1" a="1"/>
  <c r="E8" i="1" a="1"/>
  <c r="E9" i="1" a="1"/>
  <c r="E10" i="1" a="1"/>
  <c r="E11" i="1" a="1"/>
  <c r="E12" i="1" a="1"/>
  <c r="E13" i="1" a="1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25" i="1" a="1"/>
  <c r="E26" i="1" a="1"/>
  <c r="E27" i="1" a="1"/>
  <c r="E28" i="1" a="1"/>
  <c r="E29" i="1" a="1"/>
  <c r="E30" i="1" a="1"/>
  <c r="E31" i="1" a="1"/>
  <c r="E32" i="1" a="1"/>
  <c r="E33" i="1" a="1"/>
  <c r="E34" i="1" a="1"/>
  <c r="E35" i="1" a="1"/>
  <c r="E36" i="1" a="1"/>
  <c r="E37" i="1" a="1"/>
  <c r="E38" i="1" a="1"/>
  <c r="E39" i="1" a="1"/>
  <c r="E40" i="1" a="1"/>
  <c r="E41" i="1" a="1"/>
  <c r="E42" i="1" a="1"/>
  <c r="E43" i="1" a="1"/>
  <c r="E44" i="1" a="1"/>
  <c r="E45" i="1" a="1"/>
  <c r="E46" i="1" a="1"/>
  <c r="E47" i="1" a="1"/>
  <c r="E48" i="1" a="1"/>
  <c r="E49" i="1" a="1"/>
  <c r="E50" i="1" a="1"/>
  <c r="E51" i="1" a="1"/>
  <c r="E52" i="1" a="1"/>
  <c r="E53" i="1" a="1"/>
  <c r="E54" i="1" a="1"/>
  <c r="E55" i="1" a="1"/>
  <c r="E56" i="1" a="1"/>
  <c r="E57" i="1" a="1"/>
  <c r="E58" i="1" a="1"/>
  <c r="E59" i="1" a="1"/>
  <c r="E60" i="1" a="1"/>
  <c r="E61" i="1" a="1"/>
  <c r="E62" i="1" a="1"/>
  <c r="E63" i="1" a="1"/>
  <c r="E64" i="1" a="1"/>
  <c r="E65" i="1" a="1"/>
  <c r="E66" i="1" a="1"/>
  <c r="E67" i="1" a="1"/>
  <c r="E68" i="1" a="1"/>
  <c r="E69" i="1" a="1"/>
  <c r="E70" i="1" a="1"/>
  <c r="E71" i="1" a="1"/>
  <c r="E72" i="1" a="1"/>
  <c r="E73" i="1" a="1"/>
  <c r="E74" i="1" a="1"/>
  <c r="E75" i="1" a="1"/>
  <c r="E76" i="1" a="1"/>
  <c r="E77" i="1" a="1"/>
  <c r="E78" i="1" a="1"/>
  <c r="E79" i="1" a="1"/>
  <c r="E80" i="1" a="1"/>
  <c r="E81" i="1" a="1"/>
  <c r="E82" i="1" a="1"/>
  <c r="E83" i="1" a="1"/>
  <c r="E84" i="1" a="1"/>
  <c r="E85" i="1" a="1"/>
  <c r="E86" i="1" a="1"/>
  <c r="E87" i="1" a="1"/>
  <c r="E88" i="1" a="1"/>
  <c r="E89" i="1" a="1"/>
  <c r="E90" i="1" a="1"/>
  <c r="E91" i="1" a="1"/>
  <c r="E92" i="1" a="1"/>
  <c r="E93" i="1" a="1"/>
  <c r="E94" i="1" a="1"/>
  <c r="E95" i="1" a="1"/>
  <c r="E96" i="1" a="1"/>
  <c r="E97" i="1" a="1"/>
  <c r="E98" i="1" a="1"/>
  <c r="E99" i="1" a="1"/>
  <c r="E100" i="1" a="1"/>
  <c r="E101" i="1" a="1"/>
  <c r="E102" i="1" a="1"/>
  <c r="E103" i="1" a="1"/>
  <c r="E104" i="1" a="1"/>
  <c r="E105" i="1" a="1"/>
  <c r="E106" i="1" a="1"/>
  <c r="E107" i="1" a="1"/>
  <c r="E108" i="1" a="1"/>
  <c r="E109" i="1" a="1"/>
  <c r="E110" i="1" a="1"/>
  <c r="E111" i="1" a="1"/>
  <c r="E112" i="1" a="1"/>
  <c r="E113" i="1" a="1"/>
  <c r="E114" i="1" a="1"/>
  <c r="E115" i="1" a="1"/>
  <c r="E116" i="1" a="1"/>
  <c r="E117" i="1" a="1"/>
  <c r="E118" i="1" a="1"/>
  <c r="E119" i="1" a="1"/>
  <c r="E120" i="1" a="1"/>
  <c r="E121" i="1" a="1"/>
  <c r="E122" i="1" a="1"/>
  <c r="E123" i="1" a="1"/>
  <c r="E124" i="1" a="1"/>
  <c r="E125" i="1" a="1"/>
  <c r="E126" i="1" a="1"/>
  <c r="E127" i="1" a="1"/>
  <c r="E128" i="1" a="1"/>
  <c r="E129" i="1" a="1"/>
  <c r="E130" i="1" a="1"/>
  <c r="E131" i="1" a="1"/>
  <c r="E132" i="1" a="1"/>
  <c r="E133" i="1" a="1"/>
  <c r="E134" i="1" a="1"/>
  <c r="E135" i="1" a="1"/>
  <c r="E136" i="1" a="1"/>
  <c r="E137" i="1" a="1"/>
  <c r="E138" i="1" a="1"/>
  <c r="E139" i="1" a="1"/>
  <c r="E140" i="1" a="1"/>
  <c r="E141" i="1" a="1"/>
  <c r="E142" i="1" a="1"/>
  <c r="E143" i="1" a="1"/>
  <c r="E144" i="1" a="1"/>
  <c r="E145" i="1" a="1"/>
  <c r="E146" i="1" a="1"/>
  <c r="E147" i="1" a="1"/>
  <c r="E148" i="1" a="1"/>
  <c r="E149" i="1" a="1"/>
  <c r="E150" i="1" a="1"/>
  <c r="E151" i="1" a="1"/>
  <c r="E152" i="1" a="1"/>
  <c r="E153" i="1" a="1"/>
  <c r="E154" i="1" a="1"/>
  <c r="E155" i="1" a="1"/>
  <c r="E156" i="1" a="1"/>
  <c r="E157" i="1" a="1"/>
  <c r="E158" i="1" a="1"/>
  <c r="E159" i="1" a="1"/>
  <c r="E160" i="1" a="1"/>
  <c r="E161" i="1" a="1"/>
  <c r="E162" i="1" a="1"/>
  <c r="E163" i="1" a="1"/>
  <c r="E164" i="1" a="1"/>
  <c r="E165" i="1" a="1"/>
  <c r="E166" i="1" a="1"/>
  <c r="E167" i="1" a="1"/>
  <c r="E168" i="1" a="1"/>
  <c r="E169" i="1" a="1"/>
  <c r="E170" i="1" a="1"/>
  <c r="E171" i="1" a="1"/>
  <c r="E172" i="1" a="1"/>
  <c r="E173" i="1" a="1"/>
  <c r="E174" i="1" a="1"/>
  <c r="E175" i="1" a="1"/>
  <c r="E176" i="1" a="1"/>
  <c r="E177" i="1" a="1"/>
  <c r="E178" i="1" a="1"/>
  <c r="E179" i="1" a="1"/>
  <c r="E180" i="1" a="1"/>
  <c r="E181" i="1" a="1"/>
  <c r="E182" i="1" a="1"/>
  <c r="E183" i="1" a="1"/>
  <c r="E184" i="1" a="1"/>
  <c r="E185" i="1" a="1"/>
  <c r="E186" i="1" a="1"/>
  <c r="E187" i="1" a="1"/>
  <c r="E188" i="1" a="1"/>
  <c r="E189" i="1" a="1"/>
  <c r="E190" i="1" a="1"/>
  <c r="E191" i="1" a="1"/>
  <c r="E192" i="1" a="1"/>
  <c r="E193" i="1" a="1"/>
  <c r="E194" i="1" a="1"/>
  <c r="E195" i="1" a="1"/>
  <c r="E196" i="1" a="1"/>
  <c r="E197" i="1" a="1"/>
  <c r="E198" i="1" a="1"/>
  <c r="E199" i="1" a="1"/>
  <c r="E200" i="1" a="1"/>
  <c r="E201" i="1" a="1"/>
  <c r="E202" i="1" a="1"/>
  <c r="E203" i="1" a="1"/>
  <c r="E204" i="1" a="1"/>
  <c r="E205" i="1" a="1"/>
  <c r="E206" i="1" a="1"/>
  <c r="E207" i="1" a="1"/>
  <c r="E208" i="1" a="1"/>
  <c r="E209" i="1" a="1"/>
  <c r="E210" i="1" a="1"/>
  <c r="E211" i="1" a="1"/>
  <c r="E212" i="1" a="1"/>
  <c r="E213" i="1" a="1"/>
  <c r="E214" i="1" a="1"/>
  <c r="E215" i="1" a="1"/>
  <c r="E216" i="1" a="1"/>
  <c r="E217" i="1" a="1"/>
  <c r="E218" i="1" a="1"/>
  <c r="E219" i="1" a="1"/>
  <c r="E220" i="1" a="1"/>
  <c r="E221" i="1" a="1"/>
  <c r="E222" i="1" a="1"/>
  <c r="E223" i="1" a="1"/>
  <c r="E224" i="1" a="1"/>
  <c r="E225" i="1" a="1"/>
  <c r="E226" i="1" a="1"/>
  <c r="E227" i="1" a="1"/>
  <c r="E228" i="1" a="1"/>
  <c r="E229" i="1" a="1"/>
  <c r="E230" i="1" a="1"/>
  <c r="E231" i="1" a="1"/>
  <c r="E232" i="1" a="1"/>
  <c r="E233" i="1" a="1"/>
  <c r="E234" i="1" a="1"/>
  <c r="E235" i="1" a="1"/>
  <c r="E236" i="1" a="1"/>
  <c r="E237" i="1" a="1"/>
  <c r="E238" i="1" a="1"/>
  <c r="E239" i="1" a="1"/>
  <c r="E240" i="1" a="1"/>
  <c r="E241" i="1" a="1"/>
  <c r="E242" i="1" a="1"/>
  <c r="E243" i="1" a="1"/>
  <c r="E244" i="1" a="1"/>
  <c r="E245" i="1" a="1"/>
  <c r="E246" i="1" a="1"/>
  <c r="E247" i="1" a="1"/>
  <c r="E248" i="1" a="1"/>
  <c r="E249" i="1" a="1"/>
  <c r="E250" i="1" a="1"/>
  <c r="E251" i="1" a="1"/>
  <c r="E252" i="1" a="1"/>
  <c r="E253" i="1" a="1"/>
  <c r="E254" i="1" a="1"/>
  <c r="E255" i="1" a="1"/>
  <c r="E256" i="1" a="1"/>
  <c r="E257" i="1" a="1"/>
  <c r="E258" i="1" a="1"/>
  <c r="E259" i="1" a="1"/>
  <c r="E260" i="1" a="1"/>
  <c r="E261" i="1" a="1"/>
  <c r="E262" i="1" a="1"/>
  <c r="E263" i="1" a="1"/>
  <c r="E264" i="1" a="1"/>
  <c r="E265" i="1" a="1"/>
  <c r="E266" i="1" a="1"/>
  <c r="E267" i="1" a="1"/>
  <c r="E268" i="1" a="1"/>
  <c r="E269" i="1" a="1"/>
  <c r="E270" i="1" a="1"/>
  <c r="E271" i="1" a="1"/>
  <c r="E272" i="1" a="1"/>
  <c r="E273" i="1" a="1"/>
  <c r="E274" i="1" a="1"/>
  <c r="E275" i="1" a="1"/>
  <c r="E276" i="1" a="1"/>
  <c r="E277" i="1" a="1"/>
  <c r="E278" i="1" a="1"/>
  <c r="E279" i="1" a="1"/>
  <c r="E280" i="1" a="1"/>
  <c r="E281" i="1" a="1"/>
  <c r="E282" i="1" a="1"/>
  <c r="E283" i="1" a="1"/>
  <c r="E284" i="1" a="1"/>
  <c r="E285" i="1" a="1"/>
  <c r="E286" i="1" a="1"/>
  <c r="E287" i="1" a="1"/>
  <c r="E288" i="1" a="1"/>
  <c r="E289" i="1" a="1"/>
  <c r="E290" i="1" a="1"/>
  <c r="E291" i="1" a="1"/>
  <c r="E292" i="1" a="1"/>
  <c r="E293" i="1" a="1"/>
  <c r="E294" i="1" a="1"/>
  <c r="E295" i="1" a="1"/>
  <c r="E296" i="1" a="1"/>
  <c r="E297" i="1" a="1"/>
  <c r="E298" i="1" a="1"/>
  <c r="E299" i="1" a="1"/>
  <c r="E300" i="1" a="1"/>
  <c r="E301" i="1" a="1"/>
  <c r="E302" i="1" a="1"/>
  <c r="E303" i="1" a="1"/>
  <c r="E304" i="1" a="1"/>
  <c r="E305" i="1" a="1"/>
  <c r="E306" i="1" a="1"/>
  <c r="E307" i="1" a="1"/>
  <c r="E308" i="1" a="1"/>
  <c r="E309" i="1" a="1"/>
  <c r="E310" i="1" a="1"/>
  <c r="E311" i="1" a="1"/>
  <c r="E312" i="1" a="1"/>
  <c r="E313" i="1" a="1"/>
  <c r="E314" i="1" a="1"/>
  <c r="E315" i="1" a="1"/>
  <c r="E316" i="1" a="1"/>
  <c r="E317" i="1" a="1"/>
  <c r="E318" i="1" a="1"/>
  <c r="E319" i="1" a="1"/>
  <c r="E320" i="1" a="1"/>
  <c r="E321" i="1" a="1"/>
  <c r="E322" i="1" a="1"/>
  <c r="E323" i="1" a="1"/>
  <c r="E324" i="1" a="1"/>
  <c r="E325" i="1" a="1"/>
  <c r="E326" i="1" a="1"/>
  <c r="E327" i="1" a="1"/>
  <c r="E328" i="1" a="1"/>
  <c r="E329" i="1" a="1"/>
  <c r="E330" i="1" a="1"/>
  <c r="E331" i="1" a="1"/>
  <c r="E332" i="1" a="1"/>
  <c r="E333" i="1" a="1"/>
  <c r="E334" i="1" a="1"/>
  <c r="E335" i="1" a="1"/>
  <c r="E336" i="1" a="1"/>
  <c r="E337" i="1" a="1"/>
  <c r="E338" i="1" a="1"/>
  <c r="E339" i="1" a="1"/>
  <c r="E340" i="1" a="1"/>
  <c r="E341" i="1" a="1"/>
  <c r="E342" i="1" a="1"/>
  <c r="E343" i="1" a="1"/>
  <c r="E344" i="1" a="1"/>
  <c r="E345" i="1" a="1"/>
  <c r="E346" i="1" a="1"/>
  <c r="E347" i="1" a="1"/>
  <c r="E348" i="1" a="1"/>
  <c r="E349" i="1" a="1"/>
  <c r="E350" i="1" a="1"/>
  <c r="E351" i="1" a="1"/>
  <c r="E352" i="1" a="1"/>
  <c r="E353" i="1" a="1"/>
  <c r="E354" i="1" a="1"/>
  <c r="E355" i="1" a="1"/>
  <c r="E356" i="1" a="1"/>
  <c r="E357" i="1" a="1"/>
  <c r="E358" i="1" a="1"/>
  <c r="E359" i="1" a="1"/>
  <c r="E360" i="1" a="1"/>
  <c r="E361" i="1" a="1"/>
  <c r="E362" i="1" a="1"/>
  <c r="E363" i="1" a="1"/>
  <c r="E364" i="1" a="1"/>
  <c r="E365" i="1" a="1"/>
  <c r="E366" i="1" a="1"/>
  <c r="E367" i="1" a="1"/>
  <c r="E368" i="1" a="1"/>
  <c r="E369" i="1" a="1"/>
  <c r="E370" i="1" a="1"/>
  <c r="E371" i="1" a="1"/>
  <c r="E372" i="1" a="1"/>
  <c r="E373" i="1" a="1"/>
  <c r="E374" i="1" a="1"/>
  <c r="E375" i="1" a="1"/>
  <c r="E376" i="1" a="1"/>
  <c r="E377" i="1" a="1"/>
  <c r="E378" i="1" a="1"/>
  <c r="E379" i="1" a="1"/>
  <c r="E380" i="1" a="1"/>
  <c r="E381" i="1" a="1"/>
  <c r="E382" i="1" a="1"/>
  <c r="E383" i="1" a="1"/>
  <c r="E384" i="1" a="1"/>
  <c r="E385" i="1" a="1"/>
  <c r="E386" i="1" a="1"/>
  <c r="E387" i="1" a="1"/>
  <c r="E388" i="1" a="1"/>
  <c r="E389" i="1" a="1"/>
  <c r="E390" i="1" a="1"/>
  <c r="E391" i="1" a="1"/>
  <c r="E392" i="1" a="1"/>
  <c r="E393" i="1" a="1"/>
  <c r="E394" i="1" a="1"/>
  <c r="E395" i="1" a="1"/>
  <c r="E396" i="1" a="1"/>
  <c r="E397" i="1" a="1"/>
  <c r="E398" i="1" a="1"/>
  <c r="E399" i="1" a="1"/>
  <c r="E400" i="1" a="1"/>
  <c r="E401" i="1" a="1"/>
  <c r="E402" i="1" a="1"/>
  <c r="E403" i="1" a="1"/>
  <c r="E404" i="1" a="1"/>
  <c r="E405" i="1" a="1"/>
  <c r="E406" i="1" a="1"/>
  <c r="E407" i="1" a="1"/>
  <c r="E408" i="1" a="1"/>
  <c r="E409" i="1" a="1"/>
  <c r="E410" i="1" a="1"/>
  <c r="E411" i="1" a="1"/>
  <c r="E412" i="1" a="1"/>
  <c r="E413" i="1" a="1"/>
  <c r="E414" i="1" a="1"/>
  <c r="E415" i="1" a="1"/>
  <c r="E416" i="1" a="1"/>
  <c r="E417" i="1" a="1"/>
  <c r="E418" i="1" a="1"/>
  <c r="E419" i="1" a="1"/>
  <c r="E420" i="1" a="1"/>
  <c r="E421" i="1" a="1"/>
  <c r="E422" i="1" a="1"/>
  <c r="E423" i="1" a="1"/>
  <c r="E424" i="1" a="1"/>
  <c r="E425" i="1" a="1"/>
  <c r="E426" i="1" a="1"/>
  <c r="E427" i="1" a="1"/>
  <c r="E428" i="1" a="1"/>
  <c r="E429" i="1" a="1"/>
  <c r="E430" i="1" a="1"/>
  <c r="E431" i="1" a="1"/>
  <c r="E432" i="1" a="1"/>
  <c r="E433" i="1" a="1"/>
  <c r="E434" i="1" a="1"/>
  <c r="E435" i="1" a="1"/>
  <c r="E436" i="1" a="1"/>
  <c r="E437" i="1" a="1"/>
  <c r="E438" i="1" a="1"/>
  <c r="E439" i="1" a="1"/>
  <c r="E440" i="1" a="1"/>
  <c r="E441" i="1" a="1"/>
  <c r="E442" i="1" a="1"/>
  <c r="E443" i="1" a="1"/>
  <c r="E444" i="1" a="1"/>
  <c r="E445" i="1" a="1"/>
  <c r="E446" i="1" a="1"/>
  <c r="E447" i="1" a="1"/>
  <c r="E448" i="1" a="1"/>
  <c r="E449" i="1" a="1"/>
  <c r="E450" i="1" a="1"/>
  <c r="E451" i="1" a="1"/>
  <c r="E452" i="1" a="1"/>
  <c r="E453" i="1" a="1"/>
  <c r="E454" i="1" a="1"/>
  <c r="E455" i="1" a="1"/>
  <c r="E456" i="1" a="1"/>
  <c r="E457" i="1" a="1"/>
  <c r="E458" i="1" a="1"/>
  <c r="E459" i="1" a="1"/>
  <c r="E460" i="1" a="1"/>
  <c r="E461" i="1" a="1"/>
  <c r="E462" i="1" a="1"/>
  <c r="E463" i="1" a="1"/>
  <c r="E464" i="1" a="1"/>
  <c r="E465" i="1" a="1"/>
  <c r="E466" i="1" a="1"/>
  <c r="E467" i="1" a="1"/>
  <c r="E468" i="1" a="1"/>
  <c r="E469" i="1" a="1"/>
  <c r="E470" i="1" a="1"/>
  <c r="E471" i="1" a="1"/>
  <c r="E472" i="1" a="1"/>
  <c r="E473" i="1" a="1"/>
  <c r="E474" i="1" a="1"/>
  <c r="E475" i="1" a="1"/>
  <c r="E476" i="1" a="1"/>
  <c r="E477" i="1" a="1"/>
  <c r="E478" i="1" a="1"/>
  <c r="E479" i="1" a="1"/>
  <c r="E480" i="1" a="1"/>
  <c r="E481" i="1" a="1"/>
  <c r="E482" i="1" a="1"/>
  <c r="E483" i="1" a="1"/>
  <c r="E484" i="1" a="1"/>
  <c r="E485" i="1" a="1"/>
  <c r="E486" i="1" a="1"/>
  <c r="E487" i="1" a="1"/>
  <c r="E488" i="1" a="1"/>
  <c r="E489" i="1" a="1"/>
  <c r="E490" i="1" a="1"/>
  <c r="E491" i="1" a="1"/>
  <c r="E492" i="1" a="1"/>
  <c r="E493" i="1" a="1"/>
  <c r="E494" i="1" a="1"/>
  <c r="E495" i="1" a="1"/>
  <c r="E496" i="1" a="1"/>
  <c r="E497" i="1" a="1"/>
  <c r="E498" i="1" a="1"/>
  <c r="E499" i="1" a="1"/>
  <c r="E500" i="1" a="1"/>
  <c r="E501" i="1" a="1"/>
  <c r="E502" i="1" a="1"/>
  <c r="E503" i="1" a="1"/>
  <c r="E504" i="1" a="1"/>
  <c r="E50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<sst xmlns="http://schemas.openxmlformats.org/spreadsheetml/2006/main" count="1072" uniqueCount="36">
  <si>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</si>
  <si>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</si>
  <si>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</si>
  <si>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</si>
  <si>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</si>
  <si>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</si>
  <si>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</si>
  <si>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</si>
  <si>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</si>
  <si>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</si>
  <si>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</si>
  <si>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</si>
  <si>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</si>
  <si>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</si>
  <si>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</si>
  <si>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</si>
  <si>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</si>
  <si>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</si>
  <si>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</si>
  <si>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</si>
  <si>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</si>
  <si>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</si>
  <si>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</si>
  <si>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</si>
  <si>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</si>
  <si>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</si>
  <si>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</si>
  <si>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</si>
  <si>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</si>
  <si>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Sum of Товарооборот, руб</t>
  </si>
  <si>
    <t>Sum of Товарооборот на склад</t>
  </si>
  <si>
    <t>Топ-3 территорий по доле в общем товарообороте</t>
  </si>
  <si>
    <t>Топ-3 территорий по товарообороту на склад за последнюю неделю</t>
  </si>
  <si>
    <t>Общий товарооборот, руб</t>
  </si>
  <si>
    <t>Средний товарооборот на склад, руб</t>
  </si>
  <si>
    <t xml:space="preserve">Средневзвешенный ТО на склад, руб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</si>
</sst>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0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8" xfId="0" applyBorder="1"/>
    <xf numFmtId="10" fontId="0" fillId="0" borderId="8" xfId="0" applyNumberForma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border>
        <right style="thick">
          <color indexed="64"/>
        </right>
      </border>
    </dxf>
    <dxf>
      <border>
        <right style="thick">
          <color indexed="64"/>
        </right>
      </border>
    </dxf>
    <dxf>
      <border>
        <right style="thick">
          <color indexed="64"/>
        </right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.xlsx]Диаграмма!PivotTable1</c:name>
    <c:fmtId val="1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Диаграмма!$B$3</c:f>
              <c:strCache>
                <c:ptCount val="1"/>
                <c:pt idx="0">
                  <c:v>Общий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Диаграмма!$A$4:$A$10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Диаграмма!$B$4:$B$10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C-4F90-9DFC-45F1F342B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993824"/>
        <c:axId val="164916912"/>
      </c:lineChart>
      <c:lineChart>
        <c:grouping val="standard"/>
        <c:varyColors val="0"/>
        <c:ser>
          <c:idx val="1"/>
          <c:order val="1"/>
          <c:tx>
            <c:strRef>
              <c:f>Диаграмма!$C$3</c:f>
              <c:strCache>
                <c:ptCount val="1"/>
                <c:pt idx="0">
                  <c:v>Средний товарооборот на склад, руб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Диаграмма!$A$4:$A$10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Диаграмма!$C$4:$C$10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C-4F90-9DFC-45F1F342B59B}"/>
            </c:ext>
          </c:extLst>
        </c:ser>
        <c:ser>
          <c:idx val="2"/>
          <c:order val="2"/>
          <c:tx>
            <c:strRef>
              <c:f>Диаграмма!$D$3</c:f>
              <c:strCache>
                <c:ptCount val="1"/>
                <c:pt idx="0">
                  <c:v>Средневзвешенный ТО на склад, руб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Диаграмма!$A$4:$A$10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Диаграмма!$D$4:$D$10</c:f>
              <c:numCache>
                <c:formatCode>General</c:formatCode>
                <c:ptCount val="6"/>
                <c:pt idx="0">
                  <c:v>249494.04651162791</c:v>
                </c:pt>
                <c:pt idx="1">
                  <c:v>247401.41057496856</c:v>
                </c:pt>
                <c:pt idx="2">
                  <c:v>237171.50894440411</c:v>
                </c:pt>
                <c:pt idx="3">
                  <c:v>249425.8415538806</c:v>
                </c:pt>
                <c:pt idx="4">
                  <c:v>254313.05920352926</c:v>
                </c:pt>
                <c:pt idx="5">
                  <c:v>221190.85639243902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8-4A09-A3ED-7C7E5F1AF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495344"/>
        <c:axId val="1556375824"/>
      </c:lineChart>
      <c:catAx>
        <c:axId val="46299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6912"/>
        <c:crosses val="autoZero"/>
        <c:auto val="1"/>
        <c:lblAlgn val="ctr"/>
        <c:lblOffset val="100"/>
        <c:noMultiLvlLbl val="0"/>
      </c:catAx>
      <c:valAx>
        <c:axId val="1649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93824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556375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495344"/>
        <c:crosses val="max"/>
        <c:crossBetween val="between"/>
      </c:valAx>
      <c:catAx>
        <c:axId val="1694495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6375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9770</xdr:colOff>
      <xdr:row>0</xdr:row>
      <xdr:rowOff>19540</xdr:rowOff>
    </xdr:from>
    <xdr:to>
      <xdr:col>10</xdr:col>
      <xdr:colOff>341923</xdr:colOff>
      <xdr:row>41</xdr:row>
      <xdr:rowOff>9770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AF1A50-C8F0-9BA7-C271-F06E4E02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лена Архангельская" refreshedDate="46196.775652546297" createdVersion="8" refreshedVersion="8" minRefreshableVersion="3" recordCount="504" xr:uid="{9A3292D8-AC63-4BB4-A39A-C3C857E1C706}">
  <cacheSource type="worksheet">
    <worksheetSource ref="A1:I505" sheet="Лист1"/>
  </cacheSource>
  <cacheFields count="10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Средневзвешенный ТО на склад, руб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x v="0"/>
    <x v="0"/>
  </r>
  <r>
    <d v="2020-05-30T00:00:00"/>
    <x v="0"/>
    <n v="10029"/>
    <x v="1"/>
    <n v="15"/>
    <n v="490"/>
    <n v="409"/>
    <x v="1"/>
    <x v="0"/>
  </r>
  <r>
    <d v="2020-05-28T00:00:00"/>
    <x v="0"/>
    <n v="8536.5"/>
    <x v="2"/>
    <n v="15"/>
    <n v="464"/>
    <n v="390"/>
    <x v="2"/>
    <x v="0"/>
  </r>
  <r>
    <d v="2020-05-16T00:00:00"/>
    <x v="1"/>
    <n v="38947.5"/>
    <x v="3"/>
    <n v="21"/>
    <n v="2145"/>
    <n v="1947"/>
    <x v="3"/>
    <x v="1"/>
  </r>
  <r>
    <d v="2020-05-19T00:00:00"/>
    <x v="1"/>
    <n v="31842"/>
    <x v="4"/>
    <n v="21"/>
    <n v="1860"/>
    <n v="1704"/>
    <x v="4"/>
    <x v="2"/>
  </r>
  <r>
    <d v="2020-05-17T00:00:00"/>
    <x v="1"/>
    <n v="32023.5"/>
    <x v="5"/>
    <n v="21"/>
    <n v="1874"/>
    <n v="1705"/>
    <x v="5"/>
    <x v="1"/>
  </r>
  <r>
    <d v="2020-05-09T00:00:00"/>
    <x v="1"/>
    <n v="31147.5"/>
    <x v="6"/>
    <n v="21"/>
    <n v="1735"/>
    <n v="1568"/>
    <x v="6"/>
    <x v="3"/>
  </r>
  <r>
    <d v="2020-05-04T00:00:00"/>
    <x v="1"/>
    <n v="25566"/>
    <x v="7"/>
    <n v="20"/>
    <n v="1519"/>
    <n v="1372"/>
    <x v="7"/>
    <x v="3"/>
  </r>
  <r>
    <d v="2020-04-29T00:00:00"/>
    <x v="1"/>
    <n v="29319"/>
    <x v="8"/>
    <n v="18"/>
    <n v="1684"/>
    <n v="1528"/>
    <x v="8"/>
    <x v="4"/>
  </r>
  <r>
    <d v="2020-05-02T00:00:00"/>
    <x v="1"/>
    <n v="29031"/>
    <x v="9"/>
    <n v="18"/>
    <n v="1708"/>
    <n v="1534"/>
    <x v="9"/>
    <x v="4"/>
  </r>
  <r>
    <d v="2020-05-26T00:00:00"/>
    <x v="1"/>
    <n v="33423"/>
    <x v="10"/>
    <n v="20"/>
    <n v="2044"/>
    <n v="1863"/>
    <x v="10"/>
    <x v="0"/>
  </r>
  <r>
    <d v="2020-05-01T00:00:00"/>
    <x v="1"/>
    <n v="32487"/>
    <x v="11"/>
    <n v="18"/>
    <n v="1826"/>
    <n v="1633"/>
    <x v="11"/>
    <x v="4"/>
  </r>
  <r>
    <d v="2020-05-12T00:00:00"/>
    <x v="1"/>
    <n v="28219.5"/>
    <x v="12"/>
    <n v="21"/>
    <n v="1656"/>
    <n v="1516"/>
    <x v="12"/>
    <x v="1"/>
  </r>
  <r>
    <d v="2020-05-21T00:00:00"/>
    <x v="1"/>
    <n v="31272"/>
    <x v="13"/>
    <n v="21"/>
    <n v="1787"/>
    <n v="1626"/>
    <x v="13"/>
    <x v="2"/>
  </r>
  <r>
    <d v="2020-05-20T00:00:00"/>
    <x v="1"/>
    <n v="34077"/>
    <x v="14"/>
    <n v="21"/>
    <n v="1921"/>
    <n v="1767"/>
    <x v="14"/>
    <x v="2"/>
  </r>
  <r>
    <d v="2020-05-05T00:00:00"/>
    <x v="1"/>
    <n v="31566"/>
    <x v="15"/>
    <n v="20"/>
    <n v="1773"/>
    <n v="1604"/>
    <x v="15"/>
    <x v="3"/>
  </r>
  <r>
    <d v="2020-04-28T00:00:00"/>
    <x v="1"/>
    <n v="26940"/>
    <x v="16"/>
    <n v="18"/>
    <n v="1539"/>
    <n v="1404"/>
    <x v="16"/>
    <x v="4"/>
  </r>
  <r>
    <d v="2020-05-13T00:00:00"/>
    <x v="1"/>
    <n v="29241"/>
    <x v="17"/>
    <n v="21"/>
    <n v="1698"/>
    <n v="1554"/>
    <x v="17"/>
    <x v="1"/>
  </r>
  <r>
    <d v="2020-05-03T00:00:00"/>
    <x v="1"/>
    <n v="26082"/>
    <x v="18"/>
    <n v="20"/>
    <n v="1520"/>
    <n v="1373"/>
    <x v="18"/>
    <x v="4"/>
  </r>
  <r>
    <d v="2020-05-06T00:00:00"/>
    <x v="1"/>
    <n v="32511"/>
    <x v="19"/>
    <n v="20"/>
    <n v="1784"/>
    <n v="1632"/>
    <x v="19"/>
    <x v="3"/>
  </r>
  <r>
    <d v="2020-05-23T00:00:00"/>
    <x v="1"/>
    <n v="42703.5"/>
    <x v="20"/>
    <n v="21"/>
    <n v="2340"/>
    <n v="2146"/>
    <x v="20"/>
    <x v="2"/>
  </r>
  <r>
    <d v="2020-05-25T00:00:00"/>
    <x v="1"/>
    <n v="35592"/>
    <x v="21"/>
    <n v="20"/>
    <n v="2087"/>
    <n v="1914"/>
    <x v="21"/>
    <x v="0"/>
  </r>
  <r>
    <d v="2020-04-30T00:00:00"/>
    <x v="1"/>
    <n v="30445.5"/>
    <x v="22"/>
    <n v="19"/>
    <n v="1712"/>
    <n v="1552"/>
    <x v="22"/>
    <x v="4"/>
  </r>
  <r>
    <d v="2020-05-10T00:00:00"/>
    <x v="1"/>
    <n v="36619.5"/>
    <x v="23"/>
    <n v="21"/>
    <n v="2016"/>
    <n v="1846"/>
    <x v="23"/>
    <x v="3"/>
  </r>
  <r>
    <d v="2020-05-08T00:00:00"/>
    <x v="1"/>
    <n v="29409"/>
    <x v="24"/>
    <n v="21"/>
    <n v="1646"/>
    <n v="1492"/>
    <x v="24"/>
    <x v="3"/>
  </r>
  <r>
    <d v="2020-05-07T00:00:00"/>
    <x v="1"/>
    <n v="27018"/>
    <x v="25"/>
    <n v="21"/>
    <n v="1542"/>
    <n v="1405"/>
    <x v="25"/>
    <x v="3"/>
  </r>
  <r>
    <d v="2020-05-24T00:00:00"/>
    <x v="1"/>
    <n v="34303.5"/>
    <x v="26"/>
    <n v="20"/>
    <n v="1999"/>
    <n v="1829"/>
    <x v="26"/>
    <x v="2"/>
  </r>
  <r>
    <d v="2020-05-31T00:00:00"/>
    <x v="1"/>
    <n v="36999"/>
    <x v="27"/>
    <n v="21"/>
    <n v="2271"/>
    <n v="2085"/>
    <x v="27"/>
    <x v="0"/>
  </r>
  <r>
    <d v="2020-05-30T00:00:00"/>
    <x v="1"/>
    <n v="44001"/>
    <x v="28"/>
    <n v="20"/>
    <n v="2597"/>
    <n v="2376"/>
    <x v="28"/>
    <x v="0"/>
  </r>
  <r>
    <d v="2020-05-28T00:00:00"/>
    <x v="1"/>
    <n v="30982.5"/>
    <x v="29"/>
    <n v="20"/>
    <n v="1886"/>
    <n v="1736"/>
    <x v="29"/>
    <x v="0"/>
  </r>
  <r>
    <d v="2020-05-16T00:00:00"/>
    <x v="2"/>
    <n v="88063.5"/>
    <x v="30"/>
    <n v="31"/>
    <n v="5593"/>
    <n v="5177"/>
    <x v="30"/>
    <x v="1"/>
  </r>
  <r>
    <d v="2020-05-19T00:00:00"/>
    <x v="2"/>
    <n v="84024"/>
    <x v="31"/>
    <n v="31"/>
    <n v="5389"/>
    <n v="5024"/>
    <x v="31"/>
    <x v="2"/>
  </r>
  <r>
    <d v="2020-05-17T00:00:00"/>
    <x v="2"/>
    <n v="78057"/>
    <x v="32"/>
    <n v="31"/>
    <n v="5206"/>
    <n v="4843"/>
    <x v="32"/>
    <x v="1"/>
  </r>
  <r>
    <d v="2020-05-09T00:00:00"/>
    <x v="2"/>
    <n v="69720"/>
    <x v="33"/>
    <n v="31"/>
    <n v="4556"/>
    <n v="4220"/>
    <x v="33"/>
    <x v="3"/>
  </r>
  <r>
    <d v="2020-05-04T00:00:00"/>
    <x v="2"/>
    <n v="72928.5"/>
    <x v="34"/>
    <n v="31"/>
    <n v="4968"/>
    <n v="4596"/>
    <x v="34"/>
    <x v="3"/>
  </r>
  <r>
    <d v="2020-04-29T00:00:00"/>
    <x v="2"/>
    <n v="79527"/>
    <x v="35"/>
    <n v="31"/>
    <n v="5378"/>
    <n v="4985"/>
    <x v="35"/>
    <x v="4"/>
  </r>
  <r>
    <d v="2020-05-02T00:00:00"/>
    <x v="2"/>
    <n v="60463.5"/>
    <x v="36"/>
    <n v="31"/>
    <n v="4157"/>
    <n v="3823"/>
    <x v="36"/>
    <x v="4"/>
  </r>
  <r>
    <d v="2020-05-26T00:00:00"/>
    <x v="2"/>
    <n v="79975.5"/>
    <x v="37"/>
    <n v="31"/>
    <n v="5493"/>
    <n v="5119"/>
    <x v="37"/>
    <x v="0"/>
  </r>
  <r>
    <d v="2020-05-01T00:00:00"/>
    <x v="2"/>
    <n v="97534.5"/>
    <x v="38"/>
    <n v="31"/>
    <n v="6118"/>
    <n v="5564"/>
    <x v="38"/>
    <x v="4"/>
  </r>
  <r>
    <d v="2020-05-12T00:00:00"/>
    <x v="2"/>
    <n v="71520"/>
    <x v="39"/>
    <n v="31"/>
    <n v="4800"/>
    <n v="4470"/>
    <x v="39"/>
    <x v="1"/>
  </r>
  <r>
    <d v="2020-05-21T00:00:00"/>
    <x v="2"/>
    <n v="79485"/>
    <x v="40"/>
    <n v="31"/>
    <n v="5207"/>
    <n v="4868"/>
    <x v="40"/>
    <x v="2"/>
  </r>
  <r>
    <d v="2020-05-20T00:00:00"/>
    <x v="2"/>
    <n v="93313.5"/>
    <x v="41"/>
    <n v="31"/>
    <n v="5698"/>
    <n v="5258"/>
    <x v="41"/>
    <x v="2"/>
  </r>
  <r>
    <d v="2020-05-05T00:00:00"/>
    <x v="2"/>
    <n v="76585.5"/>
    <x v="42"/>
    <n v="31"/>
    <n v="5188"/>
    <n v="4800"/>
    <x v="42"/>
    <x v="3"/>
  </r>
  <r>
    <d v="2020-04-28T00:00:00"/>
    <x v="2"/>
    <n v="81826.5"/>
    <x v="43"/>
    <n v="31"/>
    <n v="5465"/>
    <n v="5096"/>
    <x v="43"/>
    <x v="4"/>
  </r>
  <r>
    <d v="2020-05-13T00:00:00"/>
    <x v="2"/>
    <n v="78846"/>
    <x v="44"/>
    <n v="31"/>
    <n v="5251"/>
    <n v="4853"/>
    <x v="44"/>
    <x v="1"/>
  </r>
  <r>
    <d v="2020-05-03T00:00:00"/>
    <x v="2"/>
    <n v="77263.5"/>
    <x v="45"/>
    <n v="31"/>
    <n v="5155"/>
    <n v="4762"/>
    <x v="45"/>
    <x v="4"/>
  </r>
  <r>
    <d v="2020-05-06T00:00:00"/>
    <x v="2"/>
    <n v="68994"/>
    <x v="46"/>
    <n v="31"/>
    <n v="4709"/>
    <n v="4348"/>
    <x v="46"/>
    <x v="3"/>
  </r>
  <r>
    <d v="2020-05-23T00:00:00"/>
    <x v="2"/>
    <n v="102889.5"/>
    <x v="47"/>
    <n v="31"/>
    <n v="6276"/>
    <n v="5801"/>
    <x v="47"/>
    <x v="2"/>
  </r>
  <r>
    <d v="2020-05-25T00:00:00"/>
    <x v="2"/>
    <n v="76999.5"/>
    <x v="48"/>
    <n v="31"/>
    <n v="5210"/>
    <n v="4841"/>
    <x v="48"/>
    <x v="0"/>
  </r>
  <r>
    <d v="2020-04-30T00:00:00"/>
    <x v="2"/>
    <n v="77565"/>
    <x v="49"/>
    <n v="31"/>
    <n v="5120"/>
    <n v="4737"/>
    <x v="49"/>
    <x v="4"/>
  </r>
  <r>
    <d v="2020-05-10T00:00:00"/>
    <x v="2"/>
    <n v="84132"/>
    <x v="50"/>
    <n v="31"/>
    <n v="5495"/>
    <n v="5093"/>
    <x v="50"/>
    <x v="3"/>
  </r>
  <r>
    <d v="2020-05-08T00:00:00"/>
    <x v="2"/>
    <n v="69544.5"/>
    <x v="51"/>
    <n v="31"/>
    <n v="4635"/>
    <n v="4266"/>
    <x v="51"/>
    <x v="3"/>
  </r>
  <r>
    <d v="2020-05-07T00:00:00"/>
    <x v="2"/>
    <n v="73204.5"/>
    <x v="52"/>
    <n v="31"/>
    <n v="4903"/>
    <n v="4527"/>
    <x v="52"/>
    <x v="3"/>
  </r>
  <r>
    <d v="2020-05-24T00:00:00"/>
    <x v="2"/>
    <n v="76663.5"/>
    <x v="53"/>
    <n v="31"/>
    <n v="5035"/>
    <n v="4683"/>
    <x v="53"/>
    <x v="2"/>
  </r>
  <r>
    <d v="2020-05-16T00:00:00"/>
    <x v="3"/>
    <n v="14265"/>
    <x v="54"/>
    <n v="10"/>
    <n v="760"/>
    <n v="672"/>
    <x v="54"/>
    <x v="1"/>
  </r>
  <r>
    <d v="2020-05-19T00:00:00"/>
    <x v="3"/>
    <n v="11526"/>
    <x v="55"/>
    <n v="10"/>
    <n v="649"/>
    <n v="568"/>
    <x v="55"/>
    <x v="2"/>
  </r>
  <r>
    <d v="2020-05-17T00:00:00"/>
    <x v="3"/>
    <n v="10402.5"/>
    <x v="56"/>
    <n v="10"/>
    <n v="591"/>
    <n v="513"/>
    <x v="56"/>
    <x v="1"/>
  </r>
  <r>
    <d v="2020-05-09T00:00:00"/>
    <x v="3"/>
    <n v="13216.5"/>
    <x v="57"/>
    <n v="10"/>
    <n v="644"/>
    <n v="559"/>
    <x v="57"/>
    <x v="3"/>
  </r>
  <r>
    <d v="2020-05-04T00:00:00"/>
    <x v="3"/>
    <n v="9130.5"/>
    <x v="58"/>
    <n v="10"/>
    <n v="462"/>
    <n v="396"/>
    <x v="58"/>
    <x v="3"/>
  </r>
  <r>
    <d v="2020-04-29T00:00:00"/>
    <x v="3"/>
    <n v="10840.5"/>
    <x v="59"/>
    <n v="10"/>
    <n v="502"/>
    <n v="433"/>
    <x v="59"/>
    <x v="4"/>
  </r>
  <r>
    <d v="2020-05-02T00:00:00"/>
    <x v="3"/>
    <n v="7866"/>
    <x v="60"/>
    <n v="10"/>
    <n v="416"/>
    <n v="341"/>
    <x v="60"/>
    <x v="4"/>
  </r>
  <r>
    <d v="2020-05-26T00:00:00"/>
    <x v="3"/>
    <n v="11835"/>
    <x v="61"/>
    <n v="10"/>
    <n v="692"/>
    <n v="601"/>
    <x v="61"/>
    <x v="0"/>
  </r>
  <r>
    <d v="2020-05-01T00:00:00"/>
    <x v="3"/>
    <n v="11619"/>
    <x v="62"/>
    <n v="10"/>
    <n v="554"/>
    <n v="472"/>
    <x v="62"/>
    <x v="4"/>
  </r>
  <r>
    <d v="2020-05-12T00:00:00"/>
    <x v="3"/>
    <n v="9328.5"/>
    <x v="63"/>
    <n v="10"/>
    <n v="526"/>
    <n v="448"/>
    <x v="63"/>
    <x v="1"/>
  </r>
  <r>
    <d v="2020-05-21T00:00:00"/>
    <x v="3"/>
    <n v="11250"/>
    <x v="64"/>
    <n v="10"/>
    <n v="677"/>
    <n v="591"/>
    <x v="64"/>
    <x v="2"/>
  </r>
  <r>
    <d v="2020-05-20T00:00:00"/>
    <x v="3"/>
    <n v="13063.5"/>
    <x v="65"/>
    <n v="10"/>
    <n v="745"/>
    <n v="654"/>
    <x v="65"/>
    <x v="2"/>
  </r>
  <r>
    <d v="2020-05-05T00:00:00"/>
    <x v="3"/>
    <n v="10147.5"/>
    <x v="66"/>
    <n v="10"/>
    <n v="511"/>
    <n v="437"/>
    <x v="66"/>
    <x v="3"/>
  </r>
  <r>
    <d v="2020-04-28T00:00:00"/>
    <x v="3"/>
    <n v="12331.5"/>
    <x v="67"/>
    <n v="10"/>
    <n v="580"/>
    <n v="506"/>
    <x v="67"/>
    <x v="4"/>
  </r>
  <r>
    <d v="2020-05-13T00:00:00"/>
    <x v="3"/>
    <n v="11202"/>
    <x v="68"/>
    <n v="10"/>
    <n v="612"/>
    <n v="530"/>
    <x v="68"/>
    <x v="1"/>
  </r>
  <r>
    <d v="2020-05-31T00:00:00"/>
    <x v="2"/>
    <n v="89149.5"/>
    <x v="69"/>
    <n v="31"/>
    <n v="5760"/>
    <n v="5367"/>
    <x v="69"/>
    <x v="0"/>
  </r>
  <r>
    <d v="2020-05-03T00:00:00"/>
    <x v="3"/>
    <n v="8185.5"/>
    <x v="70"/>
    <n v="10"/>
    <n v="402"/>
    <n v="333"/>
    <x v="70"/>
    <x v="4"/>
  </r>
  <r>
    <d v="2020-05-30T00:00:00"/>
    <x v="2"/>
    <n v="108123"/>
    <x v="71"/>
    <n v="31"/>
    <n v="6735"/>
    <n v="6264"/>
    <x v="71"/>
    <x v="0"/>
  </r>
  <r>
    <d v="2020-05-06T00:00:00"/>
    <x v="3"/>
    <n v="9210"/>
    <x v="72"/>
    <n v="10"/>
    <n v="465"/>
    <n v="390"/>
    <x v="72"/>
    <x v="3"/>
  </r>
  <r>
    <d v="2020-05-23T00:00:00"/>
    <x v="3"/>
    <n v="14773.5"/>
    <x v="73"/>
    <n v="10"/>
    <n v="828"/>
    <n v="734"/>
    <x v="73"/>
    <x v="2"/>
  </r>
  <r>
    <d v="2020-05-28T00:00:00"/>
    <x v="2"/>
    <n v="78141"/>
    <x v="74"/>
    <n v="31"/>
    <n v="5355"/>
    <n v="4969"/>
    <x v="74"/>
    <x v="0"/>
  </r>
  <r>
    <d v="2020-05-25T00:00:00"/>
    <x v="3"/>
    <n v="12280.5"/>
    <x v="75"/>
    <n v="10"/>
    <n v="739"/>
    <n v="642"/>
    <x v="75"/>
    <x v="0"/>
  </r>
  <r>
    <d v="2020-04-30T00:00:00"/>
    <x v="3"/>
    <n v="8934"/>
    <x v="76"/>
    <n v="10"/>
    <n v="448"/>
    <n v="376"/>
    <x v="76"/>
    <x v="4"/>
  </r>
  <r>
    <d v="2020-05-10T00:00:00"/>
    <x v="3"/>
    <n v="12918"/>
    <x v="77"/>
    <n v="10"/>
    <n v="642"/>
    <n v="556"/>
    <x v="77"/>
    <x v="3"/>
  </r>
  <r>
    <d v="2020-05-08T00:00:00"/>
    <x v="3"/>
    <n v="12528"/>
    <x v="78"/>
    <n v="10"/>
    <n v="638"/>
    <n v="547"/>
    <x v="78"/>
    <x v="3"/>
  </r>
  <r>
    <d v="2020-05-07T00:00:00"/>
    <x v="3"/>
    <n v="11029.5"/>
    <x v="79"/>
    <n v="10"/>
    <n v="563"/>
    <n v="486"/>
    <x v="79"/>
    <x v="3"/>
  </r>
  <r>
    <d v="2020-05-24T00:00:00"/>
    <x v="3"/>
    <n v="9994.5"/>
    <x v="80"/>
    <n v="10"/>
    <n v="639"/>
    <n v="557"/>
    <x v="80"/>
    <x v="2"/>
  </r>
  <r>
    <d v="2020-05-31T00:00:00"/>
    <x v="3"/>
    <n v="12724.5"/>
    <x v="81"/>
    <n v="10"/>
    <n v="749"/>
    <n v="655"/>
    <x v="81"/>
    <x v="0"/>
  </r>
  <r>
    <d v="2020-05-30T00:00:00"/>
    <x v="3"/>
    <n v="14728.5"/>
    <x v="82"/>
    <n v="10"/>
    <n v="865"/>
    <n v="763"/>
    <x v="82"/>
    <x v="0"/>
  </r>
  <r>
    <d v="2020-05-28T00:00:00"/>
    <x v="3"/>
    <n v="13038"/>
    <x v="83"/>
    <n v="10"/>
    <n v="791"/>
    <n v="697"/>
    <x v="83"/>
    <x v="0"/>
  </r>
  <r>
    <d v="2020-05-16T00:00:00"/>
    <x v="4"/>
    <n v="35482.5"/>
    <x v="84"/>
    <n v="19"/>
    <n v="2080"/>
    <n v="1844"/>
    <x v="84"/>
    <x v="1"/>
  </r>
  <r>
    <d v="2020-05-19T00:00:00"/>
    <x v="4"/>
    <n v="32434.5"/>
    <x v="85"/>
    <n v="19"/>
    <n v="1999"/>
    <n v="1799"/>
    <x v="85"/>
    <x v="2"/>
  </r>
  <r>
    <d v="2020-05-17T00:00:00"/>
    <x v="4"/>
    <n v="30486"/>
    <x v="86"/>
    <n v="19"/>
    <n v="1871"/>
    <n v="1660"/>
    <x v="86"/>
    <x v="1"/>
  </r>
  <r>
    <d v="2020-05-09T00:00:00"/>
    <x v="4"/>
    <n v="32079"/>
    <x v="87"/>
    <n v="19"/>
    <n v="1851"/>
    <n v="1635"/>
    <x v="87"/>
    <x v="3"/>
  </r>
  <r>
    <d v="2020-05-04T00:00:00"/>
    <x v="4"/>
    <n v="27072"/>
    <x v="88"/>
    <n v="19"/>
    <n v="1582"/>
    <n v="1403"/>
    <x v="88"/>
    <x v="3"/>
  </r>
  <r>
    <d v="2020-04-29T00:00:00"/>
    <x v="4"/>
    <n v="25917"/>
    <x v="89"/>
    <n v="18"/>
    <n v="1534"/>
    <n v="1369"/>
    <x v="89"/>
    <x v="4"/>
  </r>
  <r>
    <d v="2020-05-02T00:00:00"/>
    <x v="4"/>
    <n v="19461"/>
    <x v="90"/>
    <n v="19"/>
    <n v="1217"/>
    <n v="1048"/>
    <x v="90"/>
    <x v="4"/>
  </r>
  <r>
    <d v="2020-05-26T00:00:00"/>
    <x v="4"/>
    <n v="31407"/>
    <x v="91"/>
    <n v="20"/>
    <n v="2036"/>
    <n v="1790"/>
    <x v="91"/>
    <x v="0"/>
  </r>
  <r>
    <d v="2020-05-01T00:00:00"/>
    <x v="4"/>
    <n v="25792.5"/>
    <x v="92"/>
    <n v="19"/>
    <n v="1497"/>
    <n v="1291"/>
    <x v="92"/>
    <x v="4"/>
  </r>
  <r>
    <d v="2020-05-12T00:00:00"/>
    <x v="4"/>
    <n v="26032.5"/>
    <x v="93"/>
    <n v="19"/>
    <n v="1649"/>
    <n v="1460"/>
    <x v="93"/>
    <x v="1"/>
  </r>
  <r>
    <d v="2020-05-21T00:00:00"/>
    <x v="4"/>
    <n v="31707"/>
    <x v="94"/>
    <n v="19"/>
    <n v="1949"/>
    <n v="1724"/>
    <x v="94"/>
    <x v="2"/>
  </r>
  <r>
    <d v="2020-05-20T00:00:00"/>
    <x v="4"/>
    <n v="29955"/>
    <x v="95"/>
    <n v="19"/>
    <n v="1889"/>
    <n v="1690"/>
    <x v="95"/>
    <x v="2"/>
  </r>
  <r>
    <d v="2020-05-05T00:00:00"/>
    <x v="4"/>
    <n v="22848"/>
    <x v="96"/>
    <n v="19"/>
    <n v="1417"/>
    <n v="1245"/>
    <x v="96"/>
    <x v="3"/>
  </r>
  <r>
    <d v="2020-04-28T00:00:00"/>
    <x v="4"/>
    <n v="23314.5"/>
    <x v="97"/>
    <n v="17"/>
    <n v="1439"/>
    <n v="1265"/>
    <x v="97"/>
    <x v="4"/>
  </r>
  <r>
    <d v="2020-05-13T00:00:00"/>
    <x v="4"/>
    <n v="26464.5"/>
    <x v="98"/>
    <n v="19"/>
    <n v="1625"/>
    <n v="1444"/>
    <x v="98"/>
    <x v="1"/>
  </r>
  <r>
    <d v="2020-05-03T00:00:00"/>
    <x v="4"/>
    <n v="23539.5"/>
    <x v="99"/>
    <n v="19"/>
    <n v="1402"/>
    <n v="1234"/>
    <x v="99"/>
    <x v="4"/>
  </r>
  <r>
    <d v="2020-05-06T00:00:00"/>
    <x v="4"/>
    <n v="24678"/>
    <x v="100"/>
    <n v="19"/>
    <n v="1499"/>
    <n v="1323"/>
    <x v="100"/>
    <x v="3"/>
  </r>
  <r>
    <d v="2020-05-23T00:00:00"/>
    <x v="4"/>
    <n v="38176.5"/>
    <x v="101"/>
    <n v="20"/>
    <n v="2266"/>
    <n v="1993"/>
    <x v="101"/>
    <x v="2"/>
  </r>
  <r>
    <d v="2020-05-25T00:00:00"/>
    <x v="4"/>
    <n v="30603"/>
    <x v="102"/>
    <n v="20"/>
    <n v="2011"/>
    <n v="1791"/>
    <x v="102"/>
    <x v="0"/>
  </r>
  <r>
    <d v="2020-04-30T00:00:00"/>
    <x v="4"/>
    <n v="24211.5"/>
    <x v="103"/>
    <n v="19"/>
    <n v="1499"/>
    <n v="1322"/>
    <x v="103"/>
    <x v="4"/>
  </r>
  <r>
    <d v="2020-05-10T00:00:00"/>
    <x v="4"/>
    <n v="31399.5"/>
    <x v="104"/>
    <n v="19"/>
    <n v="1848"/>
    <n v="1649"/>
    <x v="104"/>
    <x v="3"/>
  </r>
  <r>
    <d v="2020-05-08T00:00:00"/>
    <x v="4"/>
    <n v="25294.5"/>
    <x v="105"/>
    <n v="19"/>
    <n v="1522"/>
    <n v="1340"/>
    <x v="105"/>
    <x v="3"/>
  </r>
  <r>
    <d v="2020-05-07T00:00:00"/>
    <x v="4"/>
    <n v="25468.5"/>
    <x v="106"/>
    <n v="19"/>
    <n v="1530"/>
    <n v="1338"/>
    <x v="106"/>
    <x v="3"/>
  </r>
  <r>
    <d v="2020-05-24T00:00:00"/>
    <x v="4"/>
    <n v="31854"/>
    <x v="107"/>
    <n v="20"/>
    <n v="2015"/>
    <n v="1803"/>
    <x v="107"/>
    <x v="2"/>
  </r>
  <r>
    <d v="2020-05-31T00:00:00"/>
    <x v="4"/>
    <n v="32359.5"/>
    <x v="108"/>
    <n v="20"/>
    <n v="2060"/>
    <n v="1826"/>
    <x v="108"/>
    <x v="0"/>
  </r>
  <r>
    <d v="2020-05-30T00:00:00"/>
    <x v="4"/>
    <n v="39867"/>
    <x v="109"/>
    <n v="20"/>
    <n v="2451"/>
    <n v="2178"/>
    <x v="109"/>
    <x v="0"/>
  </r>
  <r>
    <d v="2020-05-28T00:00:00"/>
    <x v="4"/>
    <n v="31974"/>
    <x v="110"/>
    <n v="20"/>
    <n v="2088"/>
    <n v="1848"/>
    <x v="110"/>
    <x v="0"/>
  </r>
  <r>
    <d v="2020-05-16T00:00:00"/>
    <x v="5"/>
    <n v="321412.5"/>
    <x v="111"/>
    <n v="129"/>
    <n v="17914"/>
    <n v="16631"/>
    <x v="111"/>
    <x v="1"/>
  </r>
  <r>
    <d v="2020-05-19T00:00:00"/>
    <x v="5"/>
    <n v="276568.5"/>
    <x v="112"/>
    <n v="129"/>
    <n v="16191"/>
    <n v="15102"/>
    <x v="112"/>
    <x v="2"/>
  </r>
  <r>
    <d v="2020-05-17T00:00:00"/>
    <x v="5"/>
    <n v="269029.5"/>
    <x v="113"/>
    <n v="129"/>
    <n v="15744"/>
    <n v="14685"/>
    <x v="113"/>
    <x v="1"/>
  </r>
  <r>
    <d v="2020-05-09T00:00:00"/>
    <x v="5"/>
    <n v="285972"/>
    <x v="114"/>
    <n v="129"/>
    <n v="16420"/>
    <n v="15169"/>
    <x v="114"/>
    <x v="3"/>
  </r>
  <r>
    <d v="2020-05-04T00:00:00"/>
    <x v="5"/>
    <n v="283942.5"/>
    <x v="115"/>
    <n v="129"/>
    <n v="16525"/>
    <n v="15310"/>
    <x v="115"/>
    <x v="3"/>
  </r>
  <r>
    <d v="2020-04-29T00:00:00"/>
    <x v="5"/>
    <n v="298059"/>
    <x v="116"/>
    <n v="128"/>
    <n v="17368"/>
    <n v="16077"/>
    <x v="116"/>
    <x v="4"/>
  </r>
  <r>
    <d v="2020-05-02T00:00:00"/>
    <x v="5"/>
    <n v="232903.5"/>
    <x v="117"/>
    <n v="129"/>
    <n v="14009"/>
    <n v="12920"/>
    <x v="117"/>
    <x v="4"/>
  </r>
  <r>
    <d v="2020-05-26T00:00:00"/>
    <x v="5"/>
    <n v="276966"/>
    <x v="118"/>
    <n v="129"/>
    <n v="16459"/>
    <n v="15355"/>
    <x v="118"/>
    <x v="0"/>
  </r>
  <r>
    <d v="2020-05-01T00:00:00"/>
    <x v="5"/>
    <n v="296149.5"/>
    <x v="119"/>
    <n v="129"/>
    <n v="17002"/>
    <n v="15570"/>
    <x v="119"/>
    <x v="4"/>
  </r>
  <r>
    <d v="2020-05-12T00:00:00"/>
    <x v="5"/>
    <n v="281796"/>
    <x v="120"/>
    <n v="129"/>
    <n v="16387"/>
    <n v="15322"/>
    <x v="120"/>
    <x v="1"/>
  </r>
  <r>
    <d v="2020-05-21T00:00:00"/>
    <x v="5"/>
    <n v="288936"/>
    <x v="121"/>
    <n v="129"/>
    <n v="16373"/>
    <n v="15223"/>
    <x v="121"/>
    <x v="2"/>
  </r>
  <r>
    <d v="2020-05-20T00:00:00"/>
    <x v="5"/>
    <n v="300151.5"/>
    <x v="122"/>
    <n v="129"/>
    <n v="17095"/>
    <n v="15919"/>
    <x v="122"/>
    <x v="2"/>
  </r>
  <r>
    <d v="2020-05-05T00:00:00"/>
    <x v="5"/>
    <n v="262734"/>
    <x v="123"/>
    <n v="129"/>
    <n v="15665"/>
    <n v="14501"/>
    <x v="123"/>
    <x v="3"/>
  </r>
  <r>
    <d v="2020-04-28T00:00:00"/>
    <x v="5"/>
    <n v="286002"/>
    <x v="124"/>
    <n v="128"/>
    <n v="16450"/>
    <n v="15320"/>
    <x v="124"/>
    <x v="4"/>
  </r>
  <r>
    <d v="2020-05-13T00:00:00"/>
    <x v="5"/>
    <n v="258459"/>
    <x v="125"/>
    <n v="129"/>
    <n v="15304"/>
    <n v="14315"/>
    <x v="125"/>
    <x v="1"/>
  </r>
  <r>
    <d v="2020-05-03T00:00:00"/>
    <x v="5"/>
    <n v="274083"/>
    <x v="126"/>
    <n v="129"/>
    <n v="15778"/>
    <n v="14624"/>
    <x v="126"/>
    <x v="4"/>
  </r>
  <r>
    <d v="2020-05-06T00:00:00"/>
    <x v="5"/>
    <n v="277512"/>
    <x v="127"/>
    <n v="129"/>
    <n v="16376"/>
    <n v="15197"/>
    <x v="127"/>
    <x v="3"/>
  </r>
  <r>
    <d v="2020-05-23T00:00:00"/>
    <x v="5"/>
    <n v="356982"/>
    <x v="128"/>
    <n v="129"/>
    <n v="19856"/>
    <n v="18325"/>
    <x v="128"/>
    <x v="2"/>
  </r>
  <r>
    <d v="2020-05-25T00:00:00"/>
    <x v="5"/>
    <n v="266983.5"/>
    <x v="129"/>
    <n v="129"/>
    <n v="15822"/>
    <n v="14753"/>
    <x v="129"/>
    <x v="0"/>
  </r>
  <r>
    <d v="2020-04-30T00:00:00"/>
    <x v="5"/>
    <n v="311131.5"/>
    <x v="130"/>
    <n v="129"/>
    <n v="18042"/>
    <n v="16631"/>
    <x v="130"/>
    <x v="4"/>
  </r>
  <r>
    <d v="2020-05-10T00:00:00"/>
    <x v="5"/>
    <n v="287206.5"/>
    <x v="131"/>
    <n v="129"/>
    <n v="16437"/>
    <n v="15285"/>
    <x v="131"/>
    <x v="3"/>
  </r>
  <r>
    <d v="2020-05-08T00:00:00"/>
    <x v="5"/>
    <n v="370092"/>
    <x v="132"/>
    <n v="129"/>
    <n v="20452"/>
    <n v="18857"/>
    <x v="132"/>
    <x v="3"/>
  </r>
  <r>
    <d v="2020-05-07T00:00:00"/>
    <x v="5"/>
    <n v="247813.5"/>
    <x v="133"/>
    <n v="129"/>
    <n v="14582"/>
    <n v="13512"/>
    <x v="133"/>
    <x v="3"/>
  </r>
  <r>
    <d v="2020-05-24T00:00:00"/>
    <x v="5"/>
    <n v="287740.5"/>
    <x v="134"/>
    <n v="129"/>
    <n v="16432"/>
    <n v="15345"/>
    <x v="134"/>
    <x v="2"/>
  </r>
  <r>
    <d v="2020-05-16T00:00:00"/>
    <x v="6"/>
    <n v="408810"/>
    <x v="135"/>
    <n v="125"/>
    <n v="22291"/>
    <n v="20635"/>
    <x v="135"/>
    <x v="1"/>
  </r>
  <r>
    <d v="2020-05-19T00:00:00"/>
    <x v="6"/>
    <n v="362536.5"/>
    <x v="136"/>
    <n v="125"/>
    <n v="20771"/>
    <n v="19338"/>
    <x v="136"/>
    <x v="2"/>
  </r>
  <r>
    <d v="2020-05-17T00:00:00"/>
    <x v="6"/>
    <n v="357072"/>
    <x v="137"/>
    <n v="125"/>
    <n v="20079"/>
    <n v="18721"/>
    <x v="137"/>
    <x v="1"/>
  </r>
  <r>
    <d v="2020-05-09T00:00:00"/>
    <x v="6"/>
    <n v="359214"/>
    <x v="138"/>
    <n v="125"/>
    <n v="20132"/>
    <n v="18617"/>
    <x v="138"/>
    <x v="3"/>
  </r>
  <r>
    <d v="2020-05-04T00:00:00"/>
    <x v="6"/>
    <n v="360255"/>
    <x v="139"/>
    <n v="125"/>
    <n v="20495"/>
    <n v="18964"/>
    <x v="139"/>
    <x v="3"/>
  </r>
  <r>
    <d v="2020-04-29T00:00:00"/>
    <x v="6"/>
    <n v="387220.5"/>
    <x v="140"/>
    <n v="125"/>
    <n v="21863"/>
    <n v="20160"/>
    <x v="140"/>
    <x v="4"/>
  </r>
  <r>
    <d v="2020-05-02T00:00:00"/>
    <x v="6"/>
    <n v="296580"/>
    <x v="141"/>
    <n v="125"/>
    <n v="16932"/>
    <n v="15601"/>
    <x v="141"/>
    <x v="4"/>
  </r>
  <r>
    <d v="2020-05-26T00:00:00"/>
    <x v="6"/>
    <n v="369861"/>
    <x v="142"/>
    <n v="124"/>
    <n v="21153"/>
    <n v="19673"/>
    <x v="142"/>
    <x v="0"/>
  </r>
  <r>
    <d v="2020-05-01T00:00:00"/>
    <x v="6"/>
    <n v="372504"/>
    <x v="143"/>
    <n v="125"/>
    <n v="20602"/>
    <n v="18845"/>
    <x v="143"/>
    <x v="4"/>
  </r>
  <r>
    <d v="2020-05-12T00:00:00"/>
    <x v="6"/>
    <n v="373392"/>
    <x v="144"/>
    <n v="125"/>
    <n v="21106"/>
    <n v="19651"/>
    <x v="144"/>
    <x v="1"/>
  </r>
  <r>
    <d v="2020-05-21T00:00:00"/>
    <x v="6"/>
    <n v="378043.5"/>
    <x v="145"/>
    <n v="125"/>
    <n v="20911"/>
    <n v="19358"/>
    <x v="145"/>
    <x v="2"/>
  </r>
  <r>
    <d v="2020-05-20T00:00:00"/>
    <x v="6"/>
    <n v="388668"/>
    <x v="146"/>
    <n v="125"/>
    <n v="21674"/>
    <n v="20155"/>
    <x v="146"/>
    <x v="2"/>
  </r>
  <r>
    <d v="2020-05-05T00:00:00"/>
    <x v="6"/>
    <n v="333792"/>
    <x v="147"/>
    <n v="125"/>
    <n v="18944"/>
    <n v="17541"/>
    <x v="147"/>
    <x v="3"/>
  </r>
  <r>
    <d v="2020-04-28T00:00:00"/>
    <x v="6"/>
    <n v="376060.5"/>
    <x v="148"/>
    <n v="125"/>
    <n v="20914"/>
    <n v="19479"/>
    <x v="148"/>
    <x v="4"/>
  </r>
  <r>
    <d v="2020-05-13T00:00:00"/>
    <x v="6"/>
    <n v="350068.5"/>
    <x v="149"/>
    <n v="125"/>
    <n v="19965"/>
    <n v="18573"/>
    <x v="149"/>
    <x v="1"/>
  </r>
  <r>
    <d v="2020-05-31T00:00:00"/>
    <x v="5"/>
    <n v="294337.5"/>
    <x v="150"/>
    <n v="129"/>
    <n v="17235"/>
    <n v="16052"/>
    <x v="150"/>
    <x v="0"/>
  </r>
  <r>
    <d v="2020-05-03T00:00:00"/>
    <x v="6"/>
    <n v="342666"/>
    <x v="151"/>
    <n v="125"/>
    <n v="18861"/>
    <n v="17420"/>
    <x v="151"/>
    <x v="4"/>
  </r>
  <r>
    <d v="2020-05-30T00:00:00"/>
    <x v="5"/>
    <n v="364882.5"/>
    <x v="152"/>
    <n v="129"/>
    <n v="20243"/>
    <n v="18711"/>
    <x v="152"/>
    <x v="0"/>
  </r>
  <r>
    <d v="2020-05-06T00:00:00"/>
    <x v="6"/>
    <n v="355278"/>
    <x v="153"/>
    <n v="125"/>
    <n v="20218"/>
    <n v="18647"/>
    <x v="153"/>
    <x v="3"/>
  </r>
  <r>
    <d v="2020-05-23T00:00:00"/>
    <x v="6"/>
    <n v="456885"/>
    <x v="154"/>
    <n v="125"/>
    <n v="24574"/>
    <n v="22609"/>
    <x v="154"/>
    <x v="2"/>
  </r>
  <r>
    <d v="2020-05-28T00:00:00"/>
    <x v="5"/>
    <n v="278491.5"/>
    <x v="155"/>
    <n v="129"/>
    <n v="16453"/>
    <n v="15289"/>
    <x v="155"/>
    <x v="0"/>
  </r>
  <r>
    <d v="2020-05-25T00:00:00"/>
    <x v="6"/>
    <n v="349734"/>
    <x v="156"/>
    <n v="124"/>
    <n v="20358"/>
    <n v="18890"/>
    <x v="156"/>
    <x v="0"/>
  </r>
  <r>
    <d v="2020-04-30T00:00:00"/>
    <x v="6"/>
    <n v="401580"/>
    <x v="157"/>
    <n v="125"/>
    <n v="22368"/>
    <n v="20625"/>
    <x v="157"/>
    <x v="4"/>
  </r>
  <r>
    <d v="2020-05-10T00:00:00"/>
    <x v="6"/>
    <n v="368649"/>
    <x v="158"/>
    <n v="125"/>
    <n v="20368"/>
    <n v="18884"/>
    <x v="158"/>
    <x v="3"/>
  </r>
  <r>
    <d v="2020-05-08T00:00:00"/>
    <x v="6"/>
    <n v="463530"/>
    <x v="159"/>
    <n v="125"/>
    <n v="24620"/>
    <n v="22641"/>
    <x v="159"/>
    <x v="3"/>
  </r>
  <r>
    <d v="2020-05-07T00:00:00"/>
    <x v="6"/>
    <n v="319110"/>
    <x v="160"/>
    <n v="125"/>
    <n v="18014"/>
    <n v="16675"/>
    <x v="160"/>
    <x v="3"/>
  </r>
  <r>
    <d v="2020-05-24T00:00:00"/>
    <x v="6"/>
    <n v="375744"/>
    <x v="161"/>
    <n v="125"/>
    <n v="21004"/>
    <n v="19556"/>
    <x v="161"/>
    <x v="2"/>
  </r>
  <r>
    <d v="2020-05-16T00:00:00"/>
    <x v="7"/>
    <n v="81331.5"/>
    <x v="162"/>
    <n v="36"/>
    <n v="5286"/>
    <n v="4867"/>
    <x v="162"/>
    <x v="1"/>
  </r>
  <r>
    <d v="2020-05-19T00:00:00"/>
    <x v="7"/>
    <n v="75796.5"/>
    <x v="163"/>
    <n v="36"/>
    <n v="5094"/>
    <n v="4716"/>
    <x v="163"/>
    <x v="2"/>
  </r>
  <r>
    <d v="2020-05-17T00:00:00"/>
    <x v="7"/>
    <n v="72861"/>
    <x v="164"/>
    <n v="36"/>
    <n v="4918"/>
    <n v="4554"/>
    <x v="164"/>
    <x v="1"/>
  </r>
  <r>
    <d v="2020-05-09T00:00:00"/>
    <x v="7"/>
    <n v="83373"/>
    <x v="165"/>
    <n v="36"/>
    <n v="5413"/>
    <n v="4959"/>
    <x v="165"/>
    <x v="3"/>
  </r>
  <r>
    <d v="2020-05-04T00:00:00"/>
    <x v="7"/>
    <n v="64108.5"/>
    <x v="166"/>
    <n v="36"/>
    <n v="4508"/>
    <n v="4149"/>
    <x v="166"/>
    <x v="3"/>
  </r>
  <r>
    <d v="2020-04-29T00:00:00"/>
    <x v="7"/>
    <n v="74707.5"/>
    <x v="167"/>
    <n v="36"/>
    <n v="4937"/>
    <n v="4561"/>
    <x v="167"/>
    <x v="4"/>
  </r>
  <r>
    <d v="2020-05-02T00:00:00"/>
    <x v="7"/>
    <n v="46216.5"/>
    <x v="168"/>
    <n v="36"/>
    <n v="3442"/>
    <n v="3147"/>
    <x v="168"/>
    <x v="4"/>
  </r>
  <r>
    <d v="2020-05-26T00:00:00"/>
    <x v="7"/>
    <n v="67726.5"/>
    <x v="169"/>
    <n v="36"/>
    <n v="4770"/>
    <n v="4424"/>
    <x v="169"/>
    <x v="0"/>
  </r>
  <r>
    <d v="2020-05-01T00:00:00"/>
    <x v="7"/>
    <n v="82228.5"/>
    <x v="170"/>
    <n v="36"/>
    <n v="5457"/>
    <n v="4916"/>
    <x v="170"/>
    <x v="4"/>
  </r>
  <r>
    <d v="2020-05-12T00:00:00"/>
    <x v="7"/>
    <n v="64390.5"/>
    <x v="171"/>
    <n v="36"/>
    <n v="4418"/>
    <n v="4088"/>
    <x v="171"/>
    <x v="1"/>
  </r>
  <r>
    <d v="2020-05-21T00:00:00"/>
    <x v="7"/>
    <n v="73126.5"/>
    <x v="172"/>
    <n v="36"/>
    <n v="4816"/>
    <n v="4452"/>
    <x v="172"/>
    <x v="2"/>
  </r>
  <r>
    <d v="2020-05-20T00:00:00"/>
    <x v="7"/>
    <n v="99631.5"/>
    <x v="173"/>
    <n v="36"/>
    <n v="5914"/>
    <n v="5384"/>
    <x v="173"/>
    <x v="2"/>
  </r>
  <r>
    <d v="2020-05-05T00:00:00"/>
    <x v="7"/>
    <n v="66396"/>
    <x v="174"/>
    <n v="36"/>
    <n v="4575"/>
    <n v="4206"/>
    <x v="174"/>
    <x v="3"/>
  </r>
  <r>
    <d v="2020-04-28T00:00:00"/>
    <x v="7"/>
    <n v="73147.5"/>
    <x v="175"/>
    <n v="36"/>
    <n v="4923"/>
    <n v="4560"/>
    <x v="175"/>
    <x v="4"/>
  </r>
  <r>
    <d v="2020-05-13T00:00:00"/>
    <x v="7"/>
    <n v="73062"/>
    <x v="176"/>
    <n v="36"/>
    <n v="4967"/>
    <n v="4583"/>
    <x v="176"/>
    <x v="1"/>
  </r>
  <r>
    <d v="2020-05-31T00:00:00"/>
    <x v="6"/>
    <n v="379663.5"/>
    <x v="177"/>
    <n v="124"/>
    <n v="21392"/>
    <n v="19869"/>
    <x v="177"/>
    <x v="0"/>
  </r>
  <r>
    <d v="2020-05-03T00:00:00"/>
    <x v="7"/>
    <n v="70581"/>
    <x v="178"/>
    <n v="36"/>
    <n v="4751"/>
    <n v="4370"/>
    <x v="178"/>
    <x v="4"/>
  </r>
  <r>
    <d v="2020-05-30T00:00:00"/>
    <x v="6"/>
    <n v="453123"/>
    <x v="179"/>
    <n v="124"/>
    <n v="24325"/>
    <n v="22469"/>
    <x v="179"/>
    <x v="0"/>
  </r>
  <r>
    <d v="2020-05-06T00:00:00"/>
    <x v="7"/>
    <n v="63012"/>
    <x v="180"/>
    <n v="36"/>
    <n v="4384"/>
    <n v="4025"/>
    <x v="180"/>
    <x v="3"/>
  </r>
  <r>
    <d v="2020-05-23T00:00:00"/>
    <x v="7"/>
    <n v="89556"/>
    <x v="181"/>
    <n v="36"/>
    <n v="5651"/>
    <n v="5212"/>
    <x v="181"/>
    <x v="2"/>
  </r>
  <r>
    <d v="2020-05-28T00:00:00"/>
    <x v="6"/>
    <n v="364638"/>
    <x v="182"/>
    <n v="124"/>
    <n v="20868"/>
    <n v="19342"/>
    <x v="182"/>
    <x v="0"/>
  </r>
  <r>
    <d v="2020-05-25T00:00:00"/>
    <x v="7"/>
    <n v="66316.5"/>
    <x v="183"/>
    <n v="36"/>
    <n v="4641"/>
    <n v="4274"/>
    <x v="183"/>
    <x v="0"/>
  </r>
  <r>
    <d v="2020-04-30T00:00:00"/>
    <x v="7"/>
    <n v="78235.5"/>
    <x v="184"/>
    <n v="36"/>
    <n v="5143"/>
    <n v="4715"/>
    <x v="184"/>
    <x v="4"/>
  </r>
  <r>
    <d v="2020-05-10T00:00:00"/>
    <x v="7"/>
    <n v="88311"/>
    <x v="185"/>
    <n v="36"/>
    <n v="5746"/>
    <n v="5277"/>
    <x v="185"/>
    <x v="3"/>
  </r>
  <r>
    <d v="2020-05-08T00:00:00"/>
    <x v="7"/>
    <n v="61804.5"/>
    <x v="186"/>
    <n v="36"/>
    <n v="4199"/>
    <n v="3867"/>
    <x v="186"/>
    <x v="3"/>
  </r>
  <r>
    <d v="2020-05-07T00:00:00"/>
    <x v="7"/>
    <n v="71067"/>
    <x v="187"/>
    <n v="36"/>
    <n v="4826"/>
    <n v="4426"/>
    <x v="187"/>
    <x v="3"/>
  </r>
  <r>
    <d v="2020-05-24T00:00:00"/>
    <x v="7"/>
    <n v="74649"/>
    <x v="188"/>
    <n v="36"/>
    <n v="4915"/>
    <n v="4562"/>
    <x v="188"/>
    <x v="2"/>
  </r>
  <r>
    <d v="2020-05-16T00:00:00"/>
    <x v="8"/>
    <n v="44560.5"/>
    <x v="189"/>
    <n v="21"/>
    <n v="2427"/>
    <n v="2213"/>
    <x v="189"/>
    <x v="1"/>
  </r>
  <r>
    <d v="2020-05-19T00:00:00"/>
    <x v="8"/>
    <n v="38250"/>
    <x v="190"/>
    <n v="21"/>
    <n v="2245"/>
    <n v="2053"/>
    <x v="190"/>
    <x v="2"/>
  </r>
  <r>
    <d v="2020-05-17T00:00:00"/>
    <x v="8"/>
    <n v="34830"/>
    <x v="191"/>
    <n v="21"/>
    <n v="2054"/>
    <n v="1883"/>
    <x v="191"/>
    <x v="1"/>
  </r>
  <r>
    <d v="2020-05-09T00:00:00"/>
    <x v="8"/>
    <n v="32239.5"/>
    <x v="192"/>
    <n v="21"/>
    <n v="1891"/>
    <n v="1709"/>
    <x v="192"/>
    <x v="3"/>
  </r>
  <r>
    <d v="2020-05-04T00:00:00"/>
    <x v="8"/>
    <n v="30780"/>
    <x v="193"/>
    <n v="20"/>
    <n v="1804"/>
    <n v="1638"/>
    <x v="193"/>
    <x v="3"/>
  </r>
  <r>
    <d v="2020-04-29T00:00:00"/>
    <x v="8"/>
    <n v="29142"/>
    <x v="194"/>
    <n v="19"/>
    <n v="1676"/>
    <n v="1516"/>
    <x v="194"/>
    <x v="4"/>
  </r>
  <r>
    <d v="2020-05-02T00:00:00"/>
    <x v="8"/>
    <n v="26428.5"/>
    <x v="195"/>
    <n v="20"/>
    <n v="1613"/>
    <n v="1457"/>
    <x v="195"/>
    <x v="4"/>
  </r>
  <r>
    <d v="2020-05-26T00:00:00"/>
    <x v="8"/>
    <n v="40744.5"/>
    <x v="196"/>
    <n v="21"/>
    <n v="2418"/>
    <n v="2215"/>
    <x v="196"/>
    <x v="0"/>
  </r>
  <r>
    <d v="2020-05-01T00:00:00"/>
    <x v="8"/>
    <n v="46620"/>
    <x v="197"/>
    <n v="20"/>
    <n v="2468"/>
    <n v="2221"/>
    <x v="197"/>
    <x v="4"/>
  </r>
  <r>
    <d v="2020-05-12T00:00:00"/>
    <x v="8"/>
    <n v="32419.5"/>
    <x v="198"/>
    <n v="21"/>
    <n v="1926"/>
    <n v="1745"/>
    <x v="198"/>
    <x v="1"/>
  </r>
  <r>
    <d v="2020-05-21T00:00:00"/>
    <x v="8"/>
    <n v="40819.5"/>
    <x v="199"/>
    <n v="21"/>
    <n v="2335"/>
    <n v="2126"/>
    <x v="199"/>
    <x v="2"/>
  </r>
  <r>
    <d v="2020-05-20T00:00:00"/>
    <x v="8"/>
    <n v="41391"/>
    <x v="200"/>
    <n v="21"/>
    <n v="2410"/>
    <n v="2202"/>
    <x v="200"/>
    <x v="2"/>
  </r>
  <r>
    <d v="2020-05-05T00:00:00"/>
    <x v="8"/>
    <n v="29482.5"/>
    <x v="201"/>
    <n v="20"/>
    <n v="1757"/>
    <n v="1596"/>
    <x v="201"/>
    <x v="3"/>
  </r>
  <r>
    <d v="2020-04-28T00:00:00"/>
    <x v="8"/>
    <n v="32181"/>
    <x v="202"/>
    <n v="19"/>
    <n v="1846"/>
    <n v="1681"/>
    <x v="202"/>
    <x v="4"/>
  </r>
  <r>
    <d v="2020-05-13T00:00:00"/>
    <x v="8"/>
    <n v="35535"/>
    <x v="203"/>
    <n v="21"/>
    <n v="2061"/>
    <n v="1876"/>
    <x v="203"/>
    <x v="1"/>
  </r>
  <r>
    <d v="2020-05-31T00:00:00"/>
    <x v="7"/>
    <n v="76234.5"/>
    <x v="204"/>
    <n v="37"/>
    <n v="5215"/>
    <n v="4848"/>
    <x v="204"/>
    <x v="0"/>
  </r>
  <r>
    <d v="2020-05-03T00:00:00"/>
    <x v="8"/>
    <n v="29935.5"/>
    <x v="205"/>
    <n v="20"/>
    <n v="1716"/>
    <n v="1561"/>
    <x v="205"/>
    <x v="4"/>
  </r>
  <r>
    <d v="2020-05-30T00:00:00"/>
    <x v="7"/>
    <n v="106926"/>
    <x v="206"/>
    <n v="37"/>
    <n v="6645"/>
    <n v="6122"/>
    <x v="206"/>
    <x v="0"/>
  </r>
  <r>
    <d v="2020-05-06T00:00:00"/>
    <x v="8"/>
    <n v="30342"/>
    <x v="207"/>
    <n v="20"/>
    <n v="1747"/>
    <n v="1570"/>
    <x v="207"/>
    <x v="3"/>
  </r>
  <r>
    <d v="2020-05-23T00:00:00"/>
    <x v="8"/>
    <n v="42999"/>
    <x v="208"/>
    <n v="21"/>
    <n v="2460"/>
    <n v="2226"/>
    <x v="208"/>
    <x v="2"/>
  </r>
  <r>
    <d v="2020-05-28T00:00:00"/>
    <x v="7"/>
    <n v="69945"/>
    <x v="209"/>
    <n v="37"/>
    <n v="4840"/>
    <n v="4475"/>
    <x v="209"/>
    <x v="0"/>
  </r>
  <r>
    <d v="2020-05-25T00:00:00"/>
    <x v="8"/>
    <n v="38740.5"/>
    <x v="210"/>
    <n v="21"/>
    <n v="2330"/>
    <n v="2142"/>
    <x v="210"/>
    <x v="0"/>
  </r>
  <r>
    <d v="2020-04-30T00:00:00"/>
    <x v="8"/>
    <n v="31231.5"/>
    <x v="211"/>
    <n v="20"/>
    <n v="1756"/>
    <n v="1586"/>
    <x v="211"/>
    <x v="4"/>
  </r>
  <r>
    <d v="2020-05-10T00:00:00"/>
    <x v="8"/>
    <n v="37489.5"/>
    <x v="212"/>
    <n v="21"/>
    <n v="2120"/>
    <n v="1921"/>
    <x v="212"/>
    <x v="3"/>
  </r>
  <r>
    <d v="2020-05-08T00:00:00"/>
    <x v="8"/>
    <n v="34399.5"/>
    <x v="213"/>
    <n v="21"/>
    <n v="1957"/>
    <n v="1755"/>
    <x v="213"/>
    <x v="3"/>
  </r>
  <r>
    <d v="2020-05-07T00:00:00"/>
    <x v="8"/>
    <n v="32851.5"/>
    <x v="214"/>
    <n v="21"/>
    <n v="1879"/>
    <n v="1695"/>
    <x v="214"/>
    <x v="3"/>
  </r>
  <r>
    <d v="2020-05-24T00:00:00"/>
    <x v="8"/>
    <n v="38194.5"/>
    <x v="215"/>
    <n v="21"/>
    <n v="2254"/>
    <n v="2061"/>
    <x v="215"/>
    <x v="2"/>
  </r>
  <r>
    <d v="2020-05-31T00:00:00"/>
    <x v="8"/>
    <n v="42423"/>
    <x v="216"/>
    <n v="23"/>
    <n v="2522"/>
    <n v="2295"/>
    <x v="216"/>
    <x v="0"/>
  </r>
  <r>
    <d v="2020-05-30T00:00:00"/>
    <x v="8"/>
    <n v="48286.5"/>
    <x v="217"/>
    <n v="22"/>
    <n v="2793"/>
    <n v="2539"/>
    <x v="217"/>
    <x v="0"/>
  </r>
  <r>
    <d v="2020-05-28T00:00:00"/>
    <x v="8"/>
    <n v="41442"/>
    <x v="218"/>
    <n v="22"/>
    <n v="2454"/>
    <n v="2239"/>
    <x v="218"/>
    <x v="0"/>
  </r>
  <r>
    <d v="2020-05-16T00:00:00"/>
    <x v="9"/>
    <n v="18600"/>
    <x v="219"/>
    <n v="15"/>
    <n v="1111"/>
    <n v="992"/>
    <x v="219"/>
    <x v="1"/>
  </r>
  <r>
    <d v="2020-05-19T00:00:00"/>
    <x v="9"/>
    <n v="16638"/>
    <x v="220"/>
    <n v="16"/>
    <n v="1012"/>
    <n v="900"/>
    <x v="220"/>
    <x v="2"/>
  </r>
  <r>
    <d v="2020-05-17T00:00:00"/>
    <x v="9"/>
    <n v="15609"/>
    <x v="221"/>
    <n v="15"/>
    <n v="971"/>
    <n v="856"/>
    <x v="221"/>
    <x v="1"/>
  </r>
  <r>
    <d v="2020-05-09T00:00:00"/>
    <x v="9"/>
    <n v="13948.5"/>
    <x v="222"/>
    <n v="15"/>
    <n v="849"/>
    <n v="740"/>
    <x v="222"/>
    <x v="3"/>
  </r>
  <r>
    <d v="2020-05-04T00:00:00"/>
    <x v="9"/>
    <n v="12301.5"/>
    <x v="223"/>
    <n v="15"/>
    <n v="750"/>
    <n v="647"/>
    <x v="223"/>
    <x v="3"/>
  </r>
  <r>
    <d v="2020-04-29T00:00:00"/>
    <x v="9"/>
    <n v="13014"/>
    <x v="224"/>
    <n v="15"/>
    <n v="786"/>
    <n v="695"/>
    <x v="224"/>
    <x v="4"/>
  </r>
  <r>
    <d v="2020-05-02T00:00:00"/>
    <x v="9"/>
    <n v="12313.5"/>
    <x v="225"/>
    <n v="15"/>
    <n v="751"/>
    <n v="651"/>
    <x v="225"/>
    <x v="4"/>
  </r>
  <r>
    <d v="2020-05-26T00:00:00"/>
    <x v="9"/>
    <n v="17391"/>
    <x v="226"/>
    <n v="17"/>
    <n v="1140"/>
    <n v="1016"/>
    <x v="226"/>
    <x v="0"/>
  </r>
  <r>
    <d v="2020-05-01T00:00:00"/>
    <x v="9"/>
    <n v="17113.5"/>
    <x v="227"/>
    <n v="15"/>
    <n v="996"/>
    <n v="888"/>
    <x v="227"/>
    <x v="4"/>
  </r>
  <r>
    <d v="2020-05-12T00:00:00"/>
    <x v="9"/>
    <n v="12802.5"/>
    <x v="228"/>
    <n v="15"/>
    <n v="845"/>
    <n v="743"/>
    <x v="228"/>
    <x v="1"/>
  </r>
  <r>
    <d v="2020-05-21T00:00:00"/>
    <x v="9"/>
    <n v="16554"/>
    <x v="229"/>
    <n v="17"/>
    <n v="1045"/>
    <n v="930"/>
    <x v="229"/>
    <x v="2"/>
  </r>
  <r>
    <d v="2020-05-20T00:00:00"/>
    <x v="9"/>
    <n v="17329.5"/>
    <x v="230"/>
    <n v="16"/>
    <n v="1050"/>
    <n v="938"/>
    <x v="230"/>
    <x v="2"/>
  </r>
  <r>
    <d v="2020-05-05T00:00:00"/>
    <x v="9"/>
    <n v="15987"/>
    <x v="231"/>
    <n v="15"/>
    <n v="922"/>
    <n v="823"/>
    <x v="231"/>
    <x v="3"/>
  </r>
  <r>
    <d v="2020-04-28T00:00:00"/>
    <x v="9"/>
    <n v="13303.5"/>
    <x v="232"/>
    <n v="15"/>
    <n v="780"/>
    <n v="690"/>
    <x v="232"/>
    <x v="4"/>
  </r>
  <r>
    <d v="2020-05-13T00:00:00"/>
    <x v="9"/>
    <n v="14305.5"/>
    <x v="233"/>
    <n v="15"/>
    <n v="898"/>
    <n v="795"/>
    <x v="233"/>
    <x v="1"/>
  </r>
  <r>
    <d v="2020-05-03T00:00:00"/>
    <x v="9"/>
    <n v="12924"/>
    <x v="234"/>
    <n v="15"/>
    <n v="784"/>
    <n v="696"/>
    <x v="234"/>
    <x v="4"/>
  </r>
  <r>
    <d v="2020-05-06T00:00:00"/>
    <x v="9"/>
    <n v="14061"/>
    <x v="235"/>
    <n v="15"/>
    <n v="839"/>
    <n v="733"/>
    <x v="235"/>
    <x v="3"/>
  </r>
  <r>
    <d v="2020-05-23T00:00:00"/>
    <x v="9"/>
    <n v="21958.5"/>
    <x v="236"/>
    <n v="17"/>
    <n v="1294"/>
    <n v="1155"/>
    <x v="236"/>
    <x v="2"/>
  </r>
  <r>
    <d v="2020-05-25T00:00:00"/>
    <x v="9"/>
    <n v="17211"/>
    <x v="237"/>
    <n v="17"/>
    <n v="1142"/>
    <n v="1020"/>
    <x v="237"/>
    <x v="0"/>
  </r>
  <r>
    <d v="2020-04-30T00:00:00"/>
    <x v="9"/>
    <n v="12753"/>
    <x v="238"/>
    <n v="15"/>
    <n v="791"/>
    <n v="691"/>
    <x v="238"/>
    <x v="4"/>
  </r>
  <r>
    <d v="2020-05-10T00:00:00"/>
    <x v="9"/>
    <n v="16435.5"/>
    <x v="239"/>
    <n v="15"/>
    <n v="950"/>
    <n v="848"/>
    <x v="239"/>
    <x v="3"/>
  </r>
  <r>
    <d v="2020-05-08T00:00:00"/>
    <x v="9"/>
    <n v="14494.5"/>
    <x v="240"/>
    <n v="15"/>
    <n v="879"/>
    <n v="768"/>
    <x v="240"/>
    <x v="3"/>
  </r>
  <r>
    <d v="2020-05-07T00:00:00"/>
    <x v="9"/>
    <n v="12705"/>
    <x v="241"/>
    <n v="15"/>
    <n v="805"/>
    <n v="703"/>
    <x v="241"/>
    <x v="3"/>
  </r>
  <r>
    <d v="2020-05-24T00:00:00"/>
    <x v="9"/>
    <n v="18075"/>
    <x v="242"/>
    <n v="17"/>
    <n v="1128"/>
    <n v="1001"/>
    <x v="242"/>
    <x v="2"/>
  </r>
  <r>
    <d v="2020-05-16T00:00:00"/>
    <x v="10"/>
    <n v="13120.5"/>
    <x v="243"/>
    <n v="15"/>
    <n v="747"/>
    <n v="647"/>
    <x v="243"/>
    <x v="1"/>
  </r>
  <r>
    <d v="2020-05-19T00:00:00"/>
    <x v="10"/>
    <n v="16237.5"/>
    <x v="244"/>
    <n v="15"/>
    <n v="930"/>
    <n v="827"/>
    <x v="244"/>
    <x v="2"/>
  </r>
  <r>
    <d v="2020-05-17T00:00:00"/>
    <x v="10"/>
    <n v="11967"/>
    <x v="245"/>
    <n v="15"/>
    <n v="692"/>
    <n v="591"/>
    <x v="245"/>
    <x v="1"/>
  </r>
  <r>
    <d v="2020-05-09T00:00:00"/>
    <x v="10"/>
    <n v="12037.5"/>
    <x v="246"/>
    <n v="15"/>
    <n v="623"/>
    <n v="535"/>
    <x v="246"/>
    <x v="3"/>
  </r>
  <r>
    <d v="2020-05-04T00:00:00"/>
    <x v="10"/>
    <n v="7087.5"/>
    <x v="247"/>
    <n v="15"/>
    <n v="390"/>
    <n v="315"/>
    <x v="247"/>
    <x v="3"/>
  </r>
  <r>
    <d v="2020-04-29T00:00:00"/>
    <x v="11"/>
    <n v="25816.5"/>
    <x v="248"/>
    <n v="18"/>
    <n v="1599"/>
    <n v="1450"/>
    <x v="248"/>
    <x v="4"/>
  </r>
  <r>
    <d v="2020-05-02T00:00:00"/>
    <x v="10"/>
    <n v="4624.5"/>
    <x v="249"/>
    <n v="15"/>
    <n v="274"/>
    <n v="203"/>
    <x v="249"/>
    <x v="4"/>
  </r>
  <r>
    <d v="2020-05-26T00:00:00"/>
    <x v="10"/>
    <n v="12259.5"/>
    <x v="250"/>
    <n v="15"/>
    <n v="812"/>
    <n v="711"/>
    <x v="250"/>
    <x v="0"/>
  </r>
  <r>
    <d v="2020-05-01T00:00:00"/>
    <x v="10"/>
    <n v="5446.5"/>
    <x v="251"/>
    <n v="15"/>
    <n v="294"/>
    <n v="225"/>
    <x v="251"/>
    <x v="4"/>
  </r>
  <r>
    <d v="2020-05-12T00:00:00"/>
    <x v="10"/>
    <n v="11296.5"/>
    <x v="252"/>
    <n v="15"/>
    <n v="624"/>
    <n v="538"/>
    <x v="252"/>
    <x v="1"/>
  </r>
  <r>
    <d v="2020-05-21T00:00:00"/>
    <x v="10"/>
    <n v="12135"/>
    <x v="253"/>
    <n v="15"/>
    <n v="749"/>
    <n v="652"/>
    <x v="253"/>
    <x v="2"/>
  </r>
  <r>
    <d v="2020-05-20T00:00:00"/>
    <x v="10"/>
    <n v="12630"/>
    <x v="254"/>
    <n v="15"/>
    <n v="760"/>
    <n v="664"/>
    <x v="254"/>
    <x v="2"/>
  </r>
  <r>
    <d v="2020-05-05T00:00:00"/>
    <x v="10"/>
    <n v="8223"/>
    <x v="255"/>
    <n v="15"/>
    <n v="455"/>
    <n v="381"/>
    <x v="255"/>
    <x v="3"/>
  </r>
  <r>
    <d v="2020-04-28T00:00:00"/>
    <x v="11"/>
    <n v="25149"/>
    <x v="256"/>
    <n v="18"/>
    <n v="1505"/>
    <n v="1368"/>
    <x v="256"/>
    <x v="4"/>
  </r>
  <r>
    <d v="2020-05-13T00:00:00"/>
    <x v="10"/>
    <n v="10401"/>
    <x v="257"/>
    <n v="15"/>
    <n v="599"/>
    <n v="515"/>
    <x v="257"/>
    <x v="1"/>
  </r>
  <r>
    <d v="2020-05-31T00:00:00"/>
    <x v="9"/>
    <n v="17689.5"/>
    <x v="258"/>
    <n v="17"/>
    <n v="1186"/>
    <n v="1054"/>
    <x v="258"/>
    <x v="0"/>
  </r>
  <r>
    <d v="2020-05-03T00:00:00"/>
    <x v="10"/>
    <n v="8127"/>
    <x v="259"/>
    <n v="15"/>
    <n v="455"/>
    <n v="384"/>
    <x v="259"/>
    <x v="4"/>
  </r>
  <r>
    <d v="2020-05-30T00:00:00"/>
    <x v="9"/>
    <n v="27250.5"/>
    <x v="260"/>
    <n v="17"/>
    <n v="1697"/>
    <n v="1499"/>
    <x v="260"/>
    <x v="0"/>
  </r>
  <r>
    <d v="2020-05-06T00:00:00"/>
    <x v="10"/>
    <n v="8464.5"/>
    <x v="261"/>
    <n v="15"/>
    <n v="467"/>
    <n v="389"/>
    <x v="261"/>
    <x v="3"/>
  </r>
  <r>
    <d v="2020-05-23T00:00:00"/>
    <x v="10"/>
    <n v="14167.5"/>
    <x v="262"/>
    <n v="15"/>
    <n v="840"/>
    <n v="725"/>
    <x v="262"/>
    <x v="2"/>
  </r>
  <r>
    <d v="2020-05-28T00:00:00"/>
    <x v="9"/>
    <n v="16500"/>
    <x v="263"/>
    <n v="17"/>
    <n v="1097"/>
    <n v="968"/>
    <x v="263"/>
    <x v="0"/>
  </r>
  <r>
    <d v="2020-05-25T00:00:00"/>
    <x v="10"/>
    <n v="13260"/>
    <x v="264"/>
    <n v="15"/>
    <n v="835"/>
    <n v="736"/>
    <x v="264"/>
    <x v="0"/>
  </r>
  <r>
    <d v="2020-04-30T00:00:00"/>
    <x v="10"/>
    <n v="4285.5"/>
    <x v="265"/>
    <n v="15"/>
    <n v="262"/>
    <n v="195"/>
    <x v="265"/>
    <x v="4"/>
  </r>
  <r>
    <d v="2020-05-10T00:00:00"/>
    <x v="10"/>
    <n v="13440"/>
    <x v="266"/>
    <n v="15"/>
    <n v="706"/>
    <n v="608"/>
    <x v="266"/>
    <x v="3"/>
  </r>
  <r>
    <d v="2020-05-08T00:00:00"/>
    <x v="10"/>
    <n v="9058.5"/>
    <x v="267"/>
    <n v="15"/>
    <n v="492"/>
    <n v="412"/>
    <x v="267"/>
    <x v="3"/>
  </r>
  <r>
    <d v="2020-05-07T00:00:00"/>
    <x v="10"/>
    <n v="8719.5"/>
    <x v="268"/>
    <n v="15"/>
    <n v="480"/>
    <n v="398"/>
    <x v="268"/>
    <x v="3"/>
  </r>
  <r>
    <d v="2020-05-24T00:00:00"/>
    <x v="10"/>
    <n v="12666"/>
    <x v="269"/>
    <n v="15"/>
    <n v="779"/>
    <n v="673"/>
    <x v="269"/>
    <x v="2"/>
  </r>
  <r>
    <d v="2020-05-16T00:00:00"/>
    <x v="11"/>
    <n v="34563"/>
    <x v="270"/>
    <n v="19"/>
    <n v="2039"/>
    <n v="1868"/>
    <x v="270"/>
    <x v="1"/>
  </r>
  <r>
    <d v="2020-05-19T00:00:00"/>
    <x v="11"/>
    <n v="28882.5"/>
    <x v="271"/>
    <n v="19"/>
    <n v="1831"/>
    <n v="1667"/>
    <x v="271"/>
    <x v="2"/>
  </r>
  <r>
    <d v="2020-05-17T00:00:00"/>
    <x v="11"/>
    <n v="28275"/>
    <x v="272"/>
    <n v="19"/>
    <n v="1790"/>
    <n v="1633"/>
    <x v="272"/>
    <x v="1"/>
  </r>
  <r>
    <d v="2020-05-09T00:00:00"/>
    <x v="11"/>
    <n v="26271"/>
    <x v="273"/>
    <n v="19"/>
    <n v="1542"/>
    <n v="1412"/>
    <x v="273"/>
    <x v="3"/>
  </r>
  <r>
    <d v="2020-05-04T00:00:00"/>
    <x v="11"/>
    <n v="23587.5"/>
    <x v="274"/>
    <n v="19"/>
    <n v="1479"/>
    <n v="1346"/>
    <x v="274"/>
    <x v="3"/>
  </r>
  <r>
    <d v="2020-05-02T00:00:00"/>
    <x v="11"/>
    <n v="18427.5"/>
    <x v="275"/>
    <n v="19"/>
    <n v="1206"/>
    <n v="1080"/>
    <x v="275"/>
    <x v="4"/>
  </r>
  <r>
    <d v="2020-05-26T00:00:00"/>
    <x v="11"/>
    <n v="27156"/>
    <x v="276"/>
    <n v="20"/>
    <n v="1814"/>
    <n v="1655"/>
    <x v="276"/>
    <x v="0"/>
  </r>
  <r>
    <d v="2020-05-01T00:00:00"/>
    <x v="11"/>
    <n v="35190"/>
    <x v="277"/>
    <n v="19"/>
    <n v="1987"/>
    <n v="1791"/>
    <x v="277"/>
    <x v="4"/>
  </r>
  <r>
    <d v="2020-05-12T00:00:00"/>
    <x v="11"/>
    <n v="25483.5"/>
    <x v="278"/>
    <n v="19"/>
    <n v="1598"/>
    <n v="1454"/>
    <x v="278"/>
    <x v="1"/>
  </r>
  <r>
    <d v="2020-05-21T00:00:00"/>
    <x v="11"/>
    <n v="25362"/>
    <x v="279"/>
    <n v="19"/>
    <n v="1650"/>
    <n v="1505"/>
    <x v="279"/>
    <x v="2"/>
  </r>
  <r>
    <d v="2020-05-20T00:00:00"/>
    <x v="11"/>
    <n v="28849.5"/>
    <x v="280"/>
    <n v="19"/>
    <n v="1823"/>
    <n v="1678"/>
    <x v="280"/>
    <x v="2"/>
  </r>
  <r>
    <d v="2020-05-05T00:00:00"/>
    <x v="11"/>
    <n v="26367"/>
    <x v="281"/>
    <n v="19"/>
    <n v="1622"/>
    <n v="1482"/>
    <x v="281"/>
    <x v="3"/>
  </r>
  <r>
    <d v="2020-05-13T00:00:00"/>
    <x v="11"/>
    <n v="25539"/>
    <x v="282"/>
    <n v="19"/>
    <n v="1605"/>
    <n v="1447"/>
    <x v="282"/>
    <x v="1"/>
  </r>
  <r>
    <d v="2020-05-31T00:00:00"/>
    <x v="10"/>
    <n v="14808"/>
    <x v="283"/>
    <n v="16"/>
    <n v="917"/>
    <n v="802"/>
    <x v="283"/>
    <x v="0"/>
  </r>
  <r>
    <d v="2020-05-03T00:00:00"/>
    <x v="11"/>
    <n v="21343.5"/>
    <x v="284"/>
    <n v="19"/>
    <n v="1314"/>
    <n v="1192"/>
    <x v="284"/>
    <x v="4"/>
  </r>
  <r>
    <d v="2020-05-30T00:00:00"/>
    <x v="10"/>
    <n v="17946"/>
    <x v="285"/>
    <n v="16"/>
    <n v="1048"/>
    <n v="918"/>
    <x v="285"/>
    <x v="0"/>
  </r>
  <r>
    <d v="2020-05-06T00:00:00"/>
    <x v="11"/>
    <n v="24337.5"/>
    <x v="286"/>
    <n v="19"/>
    <n v="1509"/>
    <n v="1374"/>
    <x v="286"/>
    <x v="3"/>
  </r>
  <r>
    <d v="2020-05-23T00:00:00"/>
    <x v="11"/>
    <n v="36997.5"/>
    <x v="287"/>
    <n v="19"/>
    <n v="2195"/>
    <n v="1999"/>
    <x v="287"/>
    <x v="2"/>
  </r>
  <r>
    <d v="2020-05-28T00:00:00"/>
    <x v="10"/>
    <n v="13864.5"/>
    <x v="288"/>
    <n v="16"/>
    <n v="876"/>
    <n v="762"/>
    <x v="288"/>
    <x v="0"/>
  </r>
  <r>
    <d v="2020-05-25T00:00:00"/>
    <x v="11"/>
    <n v="28494"/>
    <x v="289"/>
    <n v="20"/>
    <n v="1899"/>
    <n v="1738"/>
    <x v="289"/>
    <x v="0"/>
  </r>
  <r>
    <d v="2020-04-30T00:00:00"/>
    <x v="11"/>
    <n v="27883.5"/>
    <x v="290"/>
    <n v="19"/>
    <n v="1662"/>
    <n v="1506"/>
    <x v="290"/>
    <x v="4"/>
  </r>
  <r>
    <d v="2020-05-10T00:00:00"/>
    <x v="11"/>
    <n v="31224"/>
    <x v="291"/>
    <n v="19"/>
    <n v="1836"/>
    <n v="1680"/>
    <x v="291"/>
    <x v="3"/>
  </r>
  <r>
    <d v="2020-05-08T00:00:00"/>
    <x v="11"/>
    <n v="25020"/>
    <x v="292"/>
    <n v="19"/>
    <n v="1520"/>
    <n v="1380"/>
    <x v="292"/>
    <x v="3"/>
  </r>
  <r>
    <d v="2020-05-07T00:00:00"/>
    <x v="11"/>
    <n v="26184"/>
    <x v="293"/>
    <n v="19"/>
    <n v="1580"/>
    <n v="1435"/>
    <x v="293"/>
    <x v="3"/>
  </r>
  <r>
    <d v="2020-05-24T00:00:00"/>
    <x v="11"/>
    <n v="29824.5"/>
    <x v="294"/>
    <n v="19"/>
    <n v="1868"/>
    <n v="1706"/>
    <x v="294"/>
    <x v="2"/>
  </r>
  <r>
    <d v="2020-04-29T00:00:00"/>
    <x v="12"/>
    <n v="208351.5"/>
    <x v="295"/>
    <n v="59"/>
    <n v="13186"/>
    <n v="12251"/>
    <x v="295"/>
    <x v="4"/>
  </r>
  <r>
    <d v="2020-04-28T00:00:00"/>
    <x v="12"/>
    <n v="204637.5"/>
    <x v="296"/>
    <n v="59"/>
    <n v="12943"/>
    <n v="12072"/>
    <x v="296"/>
    <x v="4"/>
  </r>
  <r>
    <d v="2020-05-31T00:00:00"/>
    <x v="11"/>
    <n v="31372.5"/>
    <x v="297"/>
    <n v="21"/>
    <n v="2056"/>
    <n v="1879"/>
    <x v="297"/>
    <x v="0"/>
  </r>
  <r>
    <d v="2020-05-30T00:00:00"/>
    <x v="11"/>
    <n v="34681.5"/>
    <x v="298"/>
    <n v="20"/>
    <n v="2174"/>
    <n v="1957"/>
    <x v="298"/>
    <x v="0"/>
  </r>
  <r>
    <d v="2020-05-28T00:00:00"/>
    <x v="11"/>
    <n v="28197"/>
    <x v="299"/>
    <n v="20"/>
    <n v="1875"/>
    <n v="1701"/>
    <x v="299"/>
    <x v="0"/>
  </r>
  <r>
    <d v="2020-05-16T00:00:00"/>
    <x v="12"/>
    <n v="236551.5"/>
    <x v="300"/>
    <n v="60"/>
    <n v="14049"/>
    <n v="13118"/>
    <x v="300"/>
    <x v="1"/>
  </r>
  <r>
    <d v="2020-05-19T00:00:00"/>
    <x v="12"/>
    <n v="223597.5"/>
    <x v="301"/>
    <n v="60"/>
    <n v="13867"/>
    <n v="12987"/>
    <x v="301"/>
    <x v="2"/>
  </r>
  <r>
    <d v="2020-05-17T00:00:00"/>
    <x v="12"/>
    <n v="193363.5"/>
    <x v="302"/>
    <n v="60"/>
    <n v="11698"/>
    <n v="10989"/>
    <x v="302"/>
    <x v="1"/>
  </r>
  <r>
    <d v="2020-05-09T00:00:00"/>
    <x v="12"/>
    <n v="188319"/>
    <x v="303"/>
    <n v="59"/>
    <n v="12016"/>
    <n v="11137"/>
    <x v="303"/>
    <x v="3"/>
  </r>
  <r>
    <d v="2020-05-04T00:00:00"/>
    <x v="12"/>
    <n v="237544.5"/>
    <x v="304"/>
    <n v="59"/>
    <n v="14423"/>
    <n v="13432"/>
    <x v="304"/>
    <x v="3"/>
  </r>
  <r>
    <d v="2020-04-29T00:00:00"/>
    <x v="13"/>
    <n v="203209.5"/>
    <x v="305"/>
    <n v="54"/>
    <n v="12747"/>
    <n v="11884"/>
    <x v="305"/>
    <x v="4"/>
  </r>
  <r>
    <d v="2020-05-02T00:00:00"/>
    <x v="12"/>
    <n v="185979"/>
    <x v="306"/>
    <n v="59"/>
    <n v="12429"/>
    <n v="11477"/>
    <x v="306"/>
    <x v="4"/>
  </r>
  <r>
    <d v="2020-05-26T00:00:00"/>
    <x v="12"/>
    <n v="244905"/>
    <x v="307"/>
    <n v="59"/>
    <n v="15369"/>
    <n v="14299"/>
    <x v="307"/>
    <x v="0"/>
  </r>
  <r>
    <d v="2020-05-01T00:00:00"/>
    <x v="12"/>
    <n v="239409"/>
    <x v="308"/>
    <n v="59"/>
    <n v="15222"/>
    <n v="13873"/>
    <x v="308"/>
    <x v="4"/>
  </r>
  <r>
    <d v="2020-05-12T00:00:00"/>
    <x v="12"/>
    <n v="192886.5"/>
    <x v="309"/>
    <n v="60"/>
    <n v="12000"/>
    <n v="11194"/>
    <x v="309"/>
    <x v="1"/>
  </r>
  <r>
    <d v="2020-05-21T00:00:00"/>
    <x v="12"/>
    <n v="224233.5"/>
    <x v="310"/>
    <n v="60"/>
    <n v="14005"/>
    <n v="13002"/>
    <x v="310"/>
    <x v="2"/>
  </r>
  <r>
    <d v="2020-05-20T00:00:00"/>
    <x v="12"/>
    <n v="219622.5"/>
    <x v="311"/>
    <n v="60"/>
    <n v="13792"/>
    <n v="12834"/>
    <x v="311"/>
    <x v="2"/>
  </r>
  <r>
    <d v="2020-05-05T00:00:00"/>
    <x v="12"/>
    <n v="213582"/>
    <x v="312"/>
    <n v="59"/>
    <n v="13469"/>
    <n v="12486"/>
    <x v="312"/>
    <x v="3"/>
  </r>
  <r>
    <d v="2020-04-28T00:00:00"/>
    <x v="13"/>
    <n v="195705"/>
    <x v="313"/>
    <n v="54"/>
    <n v="12306"/>
    <n v="11532"/>
    <x v="313"/>
    <x v="4"/>
  </r>
  <r>
    <d v="2020-05-13T00:00:00"/>
    <x v="12"/>
    <n v="193722"/>
    <x v="314"/>
    <n v="60"/>
    <n v="12007"/>
    <n v="11245"/>
    <x v="314"/>
    <x v="1"/>
  </r>
  <r>
    <d v="2020-05-03T00:00:00"/>
    <x v="12"/>
    <n v="257215.5"/>
    <x v="315"/>
    <n v="59"/>
    <n v="15277"/>
    <n v="14163"/>
    <x v="315"/>
    <x v="4"/>
  </r>
  <r>
    <d v="2020-05-06T00:00:00"/>
    <x v="12"/>
    <n v="224779.5"/>
    <x v="316"/>
    <n v="59"/>
    <n v="14103"/>
    <n v="13118"/>
    <x v="316"/>
    <x v="3"/>
  </r>
  <r>
    <d v="2020-05-23T00:00:00"/>
    <x v="12"/>
    <n v="292018.5"/>
    <x v="317"/>
    <n v="60"/>
    <n v="17295"/>
    <n v="16010"/>
    <x v="317"/>
    <x v="2"/>
  </r>
  <r>
    <d v="2020-05-25T00:00:00"/>
    <x v="12"/>
    <n v="198751.5"/>
    <x v="318"/>
    <n v="59"/>
    <n v="12983"/>
    <n v="12056"/>
    <x v="318"/>
    <x v="0"/>
  </r>
  <r>
    <d v="2020-04-30T00:00:00"/>
    <x v="12"/>
    <n v="214386"/>
    <x v="319"/>
    <n v="59"/>
    <n v="13251"/>
    <n v="12255"/>
    <x v="319"/>
    <x v="4"/>
  </r>
  <r>
    <d v="2020-05-10T00:00:00"/>
    <x v="12"/>
    <n v="243825"/>
    <x v="320"/>
    <n v="59"/>
    <n v="14569"/>
    <n v="13566"/>
    <x v="320"/>
    <x v="3"/>
  </r>
  <r>
    <d v="2020-05-08T00:00:00"/>
    <x v="12"/>
    <n v="232701"/>
    <x v="321"/>
    <n v="59"/>
    <n v="14098"/>
    <n v="13106"/>
    <x v="321"/>
    <x v="3"/>
  </r>
  <r>
    <d v="2020-05-07T00:00:00"/>
    <x v="12"/>
    <n v="219411"/>
    <x v="322"/>
    <n v="59"/>
    <n v="13495"/>
    <n v="12517"/>
    <x v="322"/>
    <x v="3"/>
  </r>
  <r>
    <d v="2020-05-24T00:00:00"/>
    <x v="12"/>
    <n v="200029.5"/>
    <x v="323"/>
    <n v="60"/>
    <n v="12822"/>
    <n v="11916"/>
    <x v="323"/>
    <x v="2"/>
  </r>
  <r>
    <d v="2020-05-16T00:00:00"/>
    <x v="13"/>
    <n v="225480"/>
    <x v="324"/>
    <n v="54"/>
    <n v="13170"/>
    <n v="12299"/>
    <x v="324"/>
    <x v="1"/>
  </r>
  <r>
    <d v="2020-05-19T00:00:00"/>
    <x v="13"/>
    <n v="211453.5"/>
    <x v="325"/>
    <n v="54"/>
    <n v="13070"/>
    <n v="12244"/>
    <x v="325"/>
    <x v="2"/>
  </r>
  <r>
    <d v="2020-05-17T00:00:00"/>
    <x v="13"/>
    <n v="184801.5"/>
    <x v="326"/>
    <n v="54"/>
    <n v="11128"/>
    <n v="10467"/>
    <x v="326"/>
    <x v="1"/>
  </r>
  <r>
    <d v="2020-05-09T00:00:00"/>
    <x v="13"/>
    <n v="177976.5"/>
    <x v="327"/>
    <n v="54"/>
    <n v="11288"/>
    <n v="10492"/>
    <x v="327"/>
    <x v="3"/>
  </r>
  <r>
    <d v="2020-05-04T00:00:00"/>
    <x v="13"/>
    <n v="223617"/>
    <x v="328"/>
    <n v="54"/>
    <n v="13606"/>
    <n v="12697"/>
    <x v="328"/>
    <x v="3"/>
  </r>
  <r>
    <d v="2020-05-02T00:00:00"/>
    <x v="13"/>
    <n v="176397"/>
    <x v="329"/>
    <n v="54"/>
    <n v="11622"/>
    <n v="10754"/>
    <x v="329"/>
    <x v="4"/>
  </r>
  <r>
    <d v="2020-05-26T00:00:00"/>
    <x v="13"/>
    <n v="232369.5"/>
    <x v="330"/>
    <n v="54"/>
    <n v="14482"/>
    <n v="13510"/>
    <x v="330"/>
    <x v="0"/>
  </r>
  <r>
    <d v="2020-05-01T00:00:00"/>
    <x v="13"/>
    <n v="226540.5"/>
    <x v="331"/>
    <n v="54"/>
    <n v="14205"/>
    <n v="13026"/>
    <x v="331"/>
    <x v="4"/>
  </r>
  <r>
    <d v="2020-05-12T00:00:00"/>
    <x v="13"/>
    <n v="189679.5"/>
    <x v="332"/>
    <n v="54"/>
    <n v="11614"/>
    <n v="10862"/>
    <x v="332"/>
    <x v="1"/>
  </r>
  <r>
    <d v="2020-05-21T00:00:00"/>
    <x v="13"/>
    <n v="213640.5"/>
    <x v="333"/>
    <n v="54"/>
    <n v="13240"/>
    <n v="12360"/>
    <x v="333"/>
    <x v="2"/>
  </r>
  <r>
    <d v="2020-05-20T00:00:00"/>
    <x v="13"/>
    <n v="214885.5"/>
    <x v="334"/>
    <n v="54"/>
    <n v="13298"/>
    <n v="12428"/>
    <x v="334"/>
    <x v="2"/>
  </r>
  <r>
    <d v="2020-05-05T00:00:00"/>
    <x v="13"/>
    <n v="203832"/>
    <x v="335"/>
    <n v="54"/>
    <n v="12775"/>
    <n v="11887"/>
    <x v="335"/>
    <x v="3"/>
  </r>
  <r>
    <d v="2020-05-13T00:00:00"/>
    <x v="13"/>
    <n v="188662.5"/>
    <x v="336"/>
    <n v="54"/>
    <n v="11522"/>
    <n v="10803"/>
    <x v="336"/>
    <x v="1"/>
  </r>
  <r>
    <d v="2020-05-31T00:00:00"/>
    <x v="12"/>
    <n v="215277"/>
    <x v="337"/>
    <n v="59"/>
    <n v="13684"/>
    <n v="12690"/>
    <x v="337"/>
    <x v="0"/>
  </r>
  <r>
    <d v="2020-05-03T00:00:00"/>
    <x v="13"/>
    <n v="248148"/>
    <x v="338"/>
    <n v="54"/>
    <n v="14823"/>
    <n v="13751"/>
    <x v="338"/>
    <x v="4"/>
  </r>
  <r>
    <d v="2020-05-30T00:00:00"/>
    <x v="12"/>
    <n v="246414"/>
    <x v="339"/>
    <n v="59"/>
    <n v="15030"/>
    <n v="13956"/>
    <x v="339"/>
    <x v="0"/>
  </r>
  <r>
    <d v="2020-05-06T00:00:00"/>
    <x v="13"/>
    <n v="216498"/>
    <x v="340"/>
    <n v="54"/>
    <n v="13406"/>
    <n v="12518"/>
    <x v="340"/>
    <x v="3"/>
  </r>
  <r>
    <d v="2020-05-23T00:00:00"/>
    <x v="13"/>
    <n v="275793"/>
    <x v="341"/>
    <n v="54"/>
    <n v="16221"/>
    <n v="15065"/>
    <x v="341"/>
    <x v="2"/>
  </r>
  <r>
    <d v="2020-05-28T00:00:00"/>
    <x v="12"/>
    <n v="199753.5"/>
    <x v="342"/>
    <n v="60"/>
    <n v="12854"/>
    <n v="11954"/>
    <x v="342"/>
    <x v="0"/>
  </r>
  <r>
    <d v="2020-05-25T00:00:00"/>
    <x v="13"/>
    <n v="192948"/>
    <x v="343"/>
    <n v="54"/>
    <n v="12336"/>
    <n v="11519"/>
    <x v="343"/>
    <x v="0"/>
  </r>
  <r>
    <d v="2020-04-30T00:00:00"/>
    <x v="13"/>
    <n v="206038.5"/>
    <x v="344"/>
    <n v="54"/>
    <n v="12817"/>
    <n v="11865"/>
    <x v="344"/>
    <x v="4"/>
  </r>
  <r>
    <d v="2020-05-10T00:00:00"/>
    <x v="13"/>
    <n v="231559.5"/>
    <x v="345"/>
    <n v="54"/>
    <n v="13832"/>
    <n v="12864"/>
    <x v="345"/>
    <x v="3"/>
  </r>
  <r>
    <d v="2020-05-08T00:00:00"/>
    <x v="13"/>
    <n v="225076.5"/>
    <x v="346"/>
    <n v="54"/>
    <n v="13563"/>
    <n v="12604"/>
    <x v="346"/>
    <x v="3"/>
  </r>
  <r>
    <d v="2020-05-07T00:00:00"/>
    <x v="13"/>
    <n v="209415"/>
    <x v="347"/>
    <n v="54"/>
    <n v="12743"/>
    <n v="11858"/>
    <x v="347"/>
    <x v="3"/>
  </r>
  <r>
    <d v="2020-05-24T00:00:00"/>
    <x v="13"/>
    <n v="193719"/>
    <x v="348"/>
    <n v="54"/>
    <n v="12211"/>
    <n v="11427"/>
    <x v="348"/>
    <x v="2"/>
  </r>
  <r>
    <d v="2020-04-29T00:00:00"/>
    <x v="14"/>
    <n v="12250.5"/>
    <x v="349"/>
    <n v="15"/>
    <n v="659"/>
    <n v="575"/>
    <x v="349"/>
    <x v="4"/>
  </r>
  <r>
    <d v="2020-04-28T00:00:00"/>
    <x v="14"/>
    <n v="12541.5"/>
    <x v="350"/>
    <n v="15"/>
    <n v="636"/>
    <n v="547"/>
    <x v="350"/>
    <x v="4"/>
  </r>
  <r>
    <d v="2020-05-31T00:00:00"/>
    <x v="13"/>
    <n v="206758.5"/>
    <x v="351"/>
    <n v="54"/>
    <n v="13106"/>
    <n v="12164"/>
    <x v="351"/>
    <x v="0"/>
  </r>
  <r>
    <d v="2020-05-30T00:00:00"/>
    <x v="13"/>
    <n v="244734"/>
    <x v="352"/>
    <n v="54"/>
    <n v="14590"/>
    <n v="13551"/>
    <x v="352"/>
    <x v="0"/>
  </r>
  <r>
    <d v="2020-05-28T00:00:00"/>
    <x v="13"/>
    <n v="191641.5"/>
    <x v="353"/>
    <n v="54"/>
    <n v="12409"/>
    <n v="11582"/>
    <x v="353"/>
    <x v="0"/>
  </r>
  <r>
    <d v="2020-05-16T00:00:00"/>
    <x v="14"/>
    <n v="16368"/>
    <x v="354"/>
    <n v="16"/>
    <n v="920"/>
    <n v="818"/>
    <x v="354"/>
    <x v="1"/>
  </r>
  <r>
    <d v="2020-05-19T00:00:00"/>
    <x v="14"/>
    <n v="14427"/>
    <x v="355"/>
    <n v="17"/>
    <n v="857"/>
    <n v="757"/>
    <x v="355"/>
    <x v="2"/>
  </r>
  <r>
    <d v="2020-05-17T00:00:00"/>
    <x v="14"/>
    <n v="13440"/>
    <x v="356"/>
    <n v="16"/>
    <n v="859"/>
    <n v="746"/>
    <x v="356"/>
    <x v="1"/>
  </r>
  <r>
    <d v="2020-05-09T00:00:00"/>
    <x v="14"/>
    <n v="11745"/>
    <x v="357"/>
    <n v="15"/>
    <n v="654"/>
    <n v="570"/>
    <x v="357"/>
    <x v="3"/>
  </r>
  <r>
    <d v="2020-05-04T00:00:00"/>
    <x v="14"/>
    <n v="11062.5"/>
    <x v="358"/>
    <n v="15"/>
    <n v="622"/>
    <n v="538"/>
    <x v="358"/>
    <x v="3"/>
  </r>
  <r>
    <d v="2020-05-02T00:00:00"/>
    <x v="14"/>
    <n v="10018.5"/>
    <x v="359"/>
    <n v="15"/>
    <n v="567"/>
    <n v="493"/>
    <x v="359"/>
    <x v="4"/>
  </r>
  <r>
    <d v="2020-05-26T00:00:00"/>
    <x v="15"/>
    <n v="10437"/>
    <x v="360"/>
    <n v="7"/>
    <n v="577"/>
    <n v="389"/>
    <x v="360"/>
    <x v="0"/>
  </r>
  <r>
    <d v="2020-05-01T00:00:00"/>
    <x v="14"/>
    <n v="13644"/>
    <x v="361"/>
    <n v="15"/>
    <n v="721"/>
    <n v="625"/>
    <x v="361"/>
    <x v="4"/>
  </r>
  <r>
    <d v="2020-05-12T00:00:00"/>
    <x v="14"/>
    <n v="13443"/>
    <x v="362"/>
    <n v="15"/>
    <n v="750"/>
    <n v="659"/>
    <x v="362"/>
    <x v="1"/>
  </r>
  <r>
    <d v="2020-05-21T00:00:00"/>
    <x v="14"/>
    <n v="14182.5"/>
    <x v="363"/>
    <n v="18"/>
    <n v="888"/>
    <n v="786"/>
    <x v="363"/>
    <x v="2"/>
  </r>
  <r>
    <d v="2020-05-20T00:00:00"/>
    <x v="14"/>
    <n v="14928"/>
    <x v="364"/>
    <n v="17"/>
    <n v="890"/>
    <n v="794"/>
    <x v="364"/>
    <x v="2"/>
  </r>
  <r>
    <d v="2020-05-05T00:00:00"/>
    <x v="14"/>
    <n v="13941"/>
    <x v="365"/>
    <n v="15"/>
    <n v="750"/>
    <n v="658"/>
    <x v="365"/>
    <x v="3"/>
  </r>
  <r>
    <d v="2020-05-13T00:00:00"/>
    <x v="14"/>
    <n v="14643"/>
    <x v="366"/>
    <n v="15"/>
    <n v="854"/>
    <n v="756"/>
    <x v="366"/>
    <x v="1"/>
  </r>
  <r>
    <d v="2020-05-03T00:00:00"/>
    <x v="14"/>
    <n v="10032"/>
    <x v="367"/>
    <n v="15"/>
    <n v="585"/>
    <n v="502"/>
    <x v="367"/>
    <x v="4"/>
  </r>
  <r>
    <d v="2020-05-06T00:00:00"/>
    <x v="14"/>
    <n v="12468"/>
    <x v="368"/>
    <n v="15"/>
    <n v="701"/>
    <n v="611"/>
    <x v="368"/>
    <x v="3"/>
  </r>
  <r>
    <d v="2020-05-23T00:00:00"/>
    <x v="14"/>
    <n v="17943"/>
    <x v="369"/>
    <n v="18"/>
    <n v="1031"/>
    <n v="918"/>
    <x v="369"/>
    <x v="2"/>
  </r>
  <r>
    <d v="2020-05-25T00:00:00"/>
    <x v="14"/>
    <n v="15807"/>
    <x v="370"/>
    <n v="18"/>
    <n v="989"/>
    <n v="887"/>
    <x v="370"/>
    <x v="0"/>
  </r>
  <r>
    <d v="2020-04-30T00:00:00"/>
    <x v="14"/>
    <n v="11976"/>
    <x v="371"/>
    <n v="15"/>
    <n v="644"/>
    <n v="550"/>
    <x v="371"/>
    <x v="4"/>
  </r>
  <r>
    <d v="2020-05-10T00:00:00"/>
    <x v="14"/>
    <n v="14566.5"/>
    <x v="372"/>
    <n v="15"/>
    <n v="792"/>
    <n v="695"/>
    <x v="372"/>
    <x v="3"/>
  </r>
  <r>
    <d v="2020-05-08T00:00:00"/>
    <x v="14"/>
    <n v="12976.5"/>
    <x v="373"/>
    <n v="15"/>
    <n v="703"/>
    <n v="609"/>
    <x v="373"/>
    <x v="3"/>
  </r>
  <r>
    <d v="2020-05-07T00:00:00"/>
    <x v="14"/>
    <n v="11719.5"/>
    <x v="374"/>
    <n v="15"/>
    <n v="676"/>
    <n v="591"/>
    <x v="374"/>
    <x v="3"/>
  </r>
  <r>
    <d v="2020-05-24T00:00:00"/>
    <x v="14"/>
    <n v="17197.5"/>
    <x v="375"/>
    <n v="18"/>
    <n v="1006"/>
    <n v="904"/>
    <x v="375"/>
    <x v="2"/>
  </r>
  <r>
    <d v="2020-05-26T00:00:00"/>
    <x v="14"/>
    <n v="14419.5"/>
    <x v="376"/>
    <n v="18"/>
    <n v="914"/>
    <n v="804"/>
    <x v="376"/>
    <x v="0"/>
  </r>
  <r>
    <d v="2020-06-01T00:00:00"/>
    <x v="0"/>
    <n v="7816.5"/>
    <x v="377"/>
    <n v="15"/>
    <n v="453"/>
    <n v="370"/>
    <x v="377"/>
    <x v="5"/>
  </r>
  <r>
    <d v="2020-05-31T00:00:00"/>
    <x v="16"/>
    <n v="6409.5"/>
    <x v="378"/>
    <n v="9"/>
    <n v="345"/>
    <n v="255"/>
    <x v="378"/>
    <x v="0"/>
  </r>
  <r>
    <d v="2020-05-30T00:00:00"/>
    <x v="15"/>
    <n v="11220"/>
    <x v="379"/>
    <n v="7"/>
    <n v="532"/>
    <n v="449"/>
    <x v="379"/>
    <x v="0"/>
  </r>
  <r>
    <d v="2020-05-29T00:00:00"/>
    <x v="0"/>
    <n v="8350.5"/>
    <x v="380"/>
    <n v="15"/>
    <n v="400"/>
    <n v="329"/>
    <x v="380"/>
    <x v="0"/>
  </r>
  <r>
    <d v="2020-05-28T00:00:00"/>
    <x v="15"/>
    <n v="8428.5"/>
    <x v="381"/>
    <n v="7"/>
    <n v="420"/>
    <n v="347"/>
    <x v="381"/>
    <x v="0"/>
  </r>
  <r>
    <d v="2020-05-27T00:00:00"/>
    <x v="1"/>
    <n v="32817"/>
    <x v="382"/>
    <n v="20"/>
    <n v="2079"/>
    <n v="1893"/>
    <x v="382"/>
    <x v="0"/>
  </r>
  <r>
    <d v="2020-05-22T00:00:00"/>
    <x v="1"/>
    <n v="36031.5"/>
    <x v="383"/>
    <n v="21"/>
    <n v="2046"/>
    <n v="1853"/>
    <x v="383"/>
    <x v="2"/>
  </r>
  <r>
    <d v="2020-05-31T00:00:00"/>
    <x v="17"/>
    <n v="5127"/>
    <x v="384"/>
    <n v="6"/>
    <n v="261"/>
    <n v="188"/>
    <x v="384"/>
    <x v="0"/>
  </r>
  <r>
    <d v="2020-05-11T00:00:00"/>
    <x v="1"/>
    <n v="27187.5"/>
    <x v="385"/>
    <n v="21"/>
    <n v="1597"/>
    <n v="1457"/>
    <x v="385"/>
    <x v="1"/>
  </r>
  <r>
    <d v="2020-05-30T00:00:00"/>
    <x v="14"/>
    <n v="20688"/>
    <x v="386"/>
    <n v="18"/>
    <n v="1216"/>
    <n v="1101"/>
    <x v="386"/>
    <x v="0"/>
  </r>
  <r>
    <d v="2020-05-28T00:00:00"/>
    <x v="14"/>
    <n v="15678"/>
    <x v="387"/>
    <n v="18"/>
    <n v="1020"/>
    <n v="911"/>
    <x v="387"/>
    <x v="0"/>
  </r>
  <r>
    <d v="2020-05-18T00:00:00"/>
    <x v="1"/>
    <n v="31329"/>
    <x v="388"/>
    <n v="21"/>
    <n v="1834"/>
    <n v="1660"/>
    <x v="388"/>
    <x v="2"/>
  </r>
  <r>
    <d v="2020-05-14T00:00:00"/>
    <x v="1"/>
    <n v="29658"/>
    <x v="389"/>
    <n v="21"/>
    <n v="1706"/>
    <n v="1548"/>
    <x v="389"/>
    <x v="1"/>
  </r>
  <r>
    <d v="2020-05-15T00:00:00"/>
    <x v="1"/>
    <n v="34150.5"/>
    <x v="390"/>
    <n v="21"/>
    <n v="1926"/>
    <n v="1742"/>
    <x v="390"/>
    <x v="1"/>
  </r>
  <r>
    <d v="2020-06-01T00:00:00"/>
    <x v="1"/>
    <n v="31947"/>
    <x v="391"/>
    <n v="21"/>
    <n v="2025"/>
    <n v="1849"/>
    <x v="391"/>
    <x v="5"/>
  </r>
  <r>
    <d v="2020-05-31T00:00:00"/>
    <x v="15"/>
    <n v="10416"/>
    <x v="392"/>
    <n v="7"/>
    <n v="530"/>
    <n v="447"/>
    <x v="392"/>
    <x v="0"/>
  </r>
  <r>
    <d v="2020-05-29T00:00:00"/>
    <x v="1"/>
    <n v="35431.5"/>
    <x v="393"/>
    <n v="20"/>
    <n v="2111"/>
    <n v="1917"/>
    <x v="393"/>
    <x v="0"/>
  </r>
  <r>
    <d v="2020-05-27T00:00:00"/>
    <x v="2"/>
    <n v="78544.5"/>
    <x v="394"/>
    <n v="31"/>
    <n v="5330"/>
    <n v="4977"/>
    <x v="394"/>
    <x v="0"/>
  </r>
  <r>
    <d v="2020-05-22T00:00:00"/>
    <x v="2"/>
    <n v="97963.5"/>
    <x v="395"/>
    <n v="31"/>
    <n v="5965"/>
    <n v="5533"/>
    <x v="395"/>
    <x v="2"/>
  </r>
  <r>
    <d v="2020-06-01T00:00:00"/>
    <x v="2"/>
    <n v="77269.5"/>
    <x v="396"/>
    <n v="31"/>
    <n v="5468"/>
    <n v="5081"/>
    <x v="396"/>
    <x v="5"/>
  </r>
  <r>
    <d v="2020-05-31T00:00:00"/>
    <x v="14"/>
    <n v="16143"/>
    <x v="397"/>
    <n v="18"/>
    <n v="1029"/>
    <n v="925"/>
    <x v="397"/>
    <x v="0"/>
  </r>
  <r>
    <d v="2020-05-11T00:00:00"/>
    <x v="2"/>
    <n v="72220.5"/>
    <x v="398"/>
    <n v="31"/>
    <n v="4826"/>
    <n v="4483"/>
    <x v="398"/>
    <x v="1"/>
  </r>
  <r>
    <d v="2020-05-18T00:00:00"/>
    <x v="2"/>
    <n v="78058.5"/>
    <x v="399"/>
    <n v="31"/>
    <n v="5165"/>
    <n v="4813"/>
    <x v="399"/>
    <x v="2"/>
  </r>
  <r>
    <d v="2020-05-14T00:00:00"/>
    <x v="2"/>
    <n v="70498.5"/>
    <x v="400"/>
    <n v="31"/>
    <n v="4695"/>
    <n v="4372"/>
    <x v="400"/>
    <x v="1"/>
  </r>
  <r>
    <d v="2020-05-15T00:00:00"/>
    <x v="2"/>
    <n v="78961.5"/>
    <x v="401"/>
    <n v="31"/>
    <n v="5184"/>
    <n v="4778"/>
    <x v="401"/>
    <x v="1"/>
  </r>
  <r>
    <d v="2020-05-27T00:00:00"/>
    <x v="3"/>
    <n v="12490.5"/>
    <x v="402"/>
    <n v="10"/>
    <n v="757"/>
    <n v="660"/>
    <x v="402"/>
    <x v="0"/>
  </r>
  <r>
    <d v="2020-05-22T00:00:00"/>
    <x v="3"/>
    <n v="18036"/>
    <x v="403"/>
    <n v="10"/>
    <n v="965"/>
    <n v="861"/>
    <x v="403"/>
    <x v="2"/>
  </r>
  <r>
    <d v="2020-06-01T00:00:00"/>
    <x v="3"/>
    <n v="11416.5"/>
    <x v="404"/>
    <n v="10"/>
    <n v="719"/>
    <n v="627"/>
    <x v="404"/>
    <x v="5"/>
  </r>
  <r>
    <d v="2020-05-11T00:00:00"/>
    <x v="3"/>
    <n v="9007.5"/>
    <x v="405"/>
    <n v="10"/>
    <n v="494"/>
    <n v="421"/>
    <x v="405"/>
    <x v="1"/>
  </r>
  <r>
    <d v="2020-05-29T00:00:00"/>
    <x v="2"/>
    <n v="87552"/>
    <x v="406"/>
    <n v="31"/>
    <n v="5751"/>
    <n v="5319"/>
    <x v="406"/>
    <x v="0"/>
  </r>
  <r>
    <d v="2020-05-18T00:00:00"/>
    <x v="3"/>
    <n v="11680.5"/>
    <x v="407"/>
    <n v="10"/>
    <n v="645"/>
    <n v="565"/>
    <x v="407"/>
    <x v="2"/>
  </r>
  <r>
    <d v="2020-05-14T00:00:00"/>
    <x v="3"/>
    <n v="12037.5"/>
    <x v="408"/>
    <n v="10"/>
    <n v="627"/>
    <n v="545"/>
    <x v="408"/>
    <x v="1"/>
  </r>
  <r>
    <d v="2020-05-15T00:00:00"/>
    <x v="3"/>
    <n v="14421"/>
    <x v="409"/>
    <n v="10"/>
    <n v="743"/>
    <n v="652"/>
    <x v="409"/>
    <x v="1"/>
  </r>
  <r>
    <d v="2020-05-29T00:00:00"/>
    <x v="3"/>
    <n v="14823"/>
    <x v="410"/>
    <n v="10"/>
    <n v="873"/>
    <n v="770"/>
    <x v="410"/>
    <x v="0"/>
  </r>
  <r>
    <d v="2020-05-27T00:00:00"/>
    <x v="4"/>
    <n v="31257"/>
    <x v="411"/>
    <n v="20"/>
    <n v="2079"/>
    <n v="1856"/>
    <x v="411"/>
    <x v="0"/>
  </r>
  <r>
    <d v="2020-05-22T00:00:00"/>
    <x v="4"/>
    <n v="38074.5"/>
    <x v="412"/>
    <n v="20"/>
    <n v="2306"/>
    <n v="2054"/>
    <x v="412"/>
    <x v="2"/>
  </r>
  <r>
    <d v="2020-06-01T00:00:00"/>
    <x v="4"/>
    <n v="32170.5"/>
    <x v="413"/>
    <n v="20"/>
    <n v="2136"/>
    <n v="1899"/>
    <x v="413"/>
    <x v="5"/>
  </r>
  <r>
    <d v="2020-05-11T00:00:00"/>
    <x v="4"/>
    <n v="42397.5"/>
    <x v="414"/>
    <n v="19"/>
    <n v="2530"/>
    <n v="2270"/>
    <x v="414"/>
    <x v="1"/>
  </r>
  <r>
    <d v="2020-05-18T00:00:00"/>
    <x v="4"/>
    <n v="28668"/>
    <x v="415"/>
    <n v="19"/>
    <n v="1858"/>
    <n v="1648"/>
    <x v="415"/>
    <x v="2"/>
  </r>
  <r>
    <d v="2020-05-14T00:00:00"/>
    <x v="4"/>
    <n v="27411"/>
    <x v="416"/>
    <n v="19"/>
    <n v="1675"/>
    <n v="1475"/>
    <x v="416"/>
    <x v="1"/>
  </r>
  <r>
    <d v="2020-05-15T00:00:00"/>
    <x v="4"/>
    <n v="32854.5"/>
    <x v="417"/>
    <n v="19"/>
    <n v="1940"/>
    <n v="1715"/>
    <x v="417"/>
    <x v="1"/>
  </r>
  <r>
    <d v="2020-05-29T00:00:00"/>
    <x v="4"/>
    <n v="35346"/>
    <x v="418"/>
    <n v="20"/>
    <n v="2249"/>
    <n v="2000"/>
    <x v="418"/>
    <x v="0"/>
  </r>
  <r>
    <d v="2020-05-27T00:00:00"/>
    <x v="5"/>
    <n v="286558.5"/>
    <x v="419"/>
    <n v="129"/>
    <n v="17115"/>
    <n v="15962"/>
    <x v="419"/>
    <x v="0"/>
  </r>
  <r>
    <d v="2020-05-22T00:00:00"/>
    <x v="5"/>
    <n v="304092"/>
    <x v="420"/>
    <n v="129"/>
    <n v="17088"/>
    <n v="15804"/>
    <x v="420"/>
    <x v="2"/>
  </r>
  <r>
    <d v="2020-06-01T00:00:00"/>
    <x v="5"/>
    <n v="272926.5"/>
    <x v="421"/>
    <n v="128"/>
    <n v="16285"/>
    <n v="15130"/>
    <x v="421"/>
    <x v="5"/>
  </r>
  <r>
    <d v="2020-05-11T00:00:00"/>
    <x v="5"/>
    <n v="237099"/>
    <x v="422"/>
    <n v="129"/>
    <n v="14043"/>
    <n v="13167"/>
    <x v="422"/>
    <x v="1"/>
  </r>
  <r>
    <d v="2020-05-18T00:00:00"/>
    <x v="5"/>
    <n v="273900"/>
    <x v="423"/>
    <n v="129"/>
    <n v="16110"/>
    <n v="14992"/>
    <x v="423"/>
    <x v="2"/>
  </r>
  <r>
    <d v="2020-05-14T00:00:00"/>
    <x v="5"/>
    <n v="274059"/>
    <x v="424"/>
    <n v="129"/>
    <n v="15804"/>
    <n v="14738"/>
    <x v="424"/>
    <x v="1"/>
  </r>
  <r>
    <d v="2020-05-15T00:00:00"/>
    <x v="5"/>
    <n v="318816"/>
    <x v="425"/>
    <n v="129"/>
    <n v="17808"/>
    <n v="16486"/>
    <x v="425"/>
    <x v="1"/>
  </r>
  <r>
    <d v="2020-05-27T00:00:00"/>
    <x v="6"/>
    <n v="370012.5"/>
    <x v="426"/>
    <n v="124"/>
    <n v="21384"/>
    <n v="19897"/>
    <x v="426"/>
    <x v="0"/>
  </r>
  <r>
    <d v="2020-05-22T00:00:00"/>
    <x v="6"/>
    <n v="393018"/>
    <x v="427"/>
    <n v="125"/>
    <n v="21427"/>
    <n v="19799"/>
    <x v="427"/>
    <x v="2"/>
  </r>
  <r>
    <d v="2020-06-01T00:00:00"/>
    <x v="6"/>
    <n v="349699.5"/>
    <x v="428"/>
    <n v="123"/>
    <n v="20325"/>
    <n v="18935"/>
    <x v="428"/>
    <x v="5"/>
  </r>
  <r>
    <d v="2020-05-11T00:00:00"/>
    <x v="6"/>
    <n v="318565.5"/>
    <x v="429"/>
    <n v="125"/>
    <n v="18066"/>
    <n v="16883"/>
    <x v="429"/>
    <x v="1"/>
  </r>
  <r>
    <d v="2020-05-29T00:00:00"/>
    <x v="5"/>
    <n v="422965.5"/>
    <x v="430"/>
    <n v="129"/>
    <n v="22403"/>
    <n v="20676"/>
    <x v="430"/>
    <x v="0"/>
  </r>
  <r>
    <d v="2020-05-18T00:00:00"/>
    <x v="6"/>
    <n v="355081.5"/>
    <x v="431"/>
    <n v="125"/>
    <n v="20449"/>
    <n v="19060"/>
    <x v="431"/>
    <x v="2"/>
  </r>
  <r>
    <d v="2020-05-14T00:00:00"/>
    <x v="6"/>
    <n v="358387.5"/>
    <x v="432"/>
    <n v="125"/>
    <n v="20247"/>
    <n v="18812"/>
    <x v="432"/>
    <x v="1"/>
  </r>
  <r>
    <d v="2020-05-15T00:00:00"/>
    <x v="6"/>
    <n v="403261.5"/>
    <x v="433"/>
    <n v="125"/>
    <n v="21862"/>
    <n v="20235"/>
    <x v="433"/>
    <x v="1"/>
  </r>
  <r>
    <d v="2020-05-27T00:00:00"/>
    <x v="7"/>
    <n v="69010.5"/>
    <x v="434"/>
    <n v="36"/>
    <n v="4951"/>
    <n v="4584"/>
    <x v="434"/>
    <x v="0"/>
  </r>
  <r>
    <d v="2020-05-22T00:00:00"/>
    <x v="7"/>
    <n v="75820.5"/>
    <x v="435"/>
    <n v="36"/>
    <n v="4857"/>
    <n v="4456"/>
    <x v="435"/>
    <x v="2"/>
  </r>
  <r>
    <d v="2020-06-01T00:00:00"/>
    <x v="7"/>
    <n v="64740"/>
    <x v="436"/>
    <n v="37"/>
    <n v="4722"/>
    <n v="4352"/>
    <x v="436"/>
    <x v="5"/>
  </r>
  <r>
    <d v="2020-05-11T00:00:00"/>
    <x v="7"/>
    <n v="59574"/>
    <x v="437"/>
    <n v="36"/>
    <n v="4150"/>
    <n v="3838"/>
    <x v="437"/>
    <x v="1"/>
  </r>
  <r>
    <d v="2020-05-29T00:00:00"/>
    <x v="6"/>
    <n v="524481"/>
    <x v="438"/>
    <n v="124"/>
    <n v="25828"/>
    <n v="23974"/>
    <x v="438"/>
    <x v="0"/>
  </r>
  <r>
    <d v="2020-05-18T00:00:00"/>
    <x v="7"/>
    <n v="70278"/>
    <x v="439"/>
    <n v="36"/>
    <n v="4885"/>
    <n v="4502"/>
    <x v="439"/>
    <x v="2"/>
  </r>
  <r>
    <d v="2020-05-14T00:00:00"/>
    <x v="7"/>
    <n v="63645"/>
    <x v="440"/>
    <n v="36"/>
    <n v="4285"/>
    <n v="3950"/>
    <x v="440"/>
    <x v="1"/>
  </r>
  <r>
    <d v="2020-05-15T00:00:00"/>
    <x v="7"/>
    <n v="75642"/>
    <x v="441"/>
    <n v="36"/>
    <n v="4862"/>
    <n v="4476"/>
    <x v="441"/>
    <x v="1"/>
  </r>
  <r>
    <d v="2020-05-27T00:00:00"/>
    <x v="8"/>
    <n v="40420.5"/>
    <x v="442"/>
    <n v="21"/>
    <n v="2430"/>
    <n v="2216"/>
    <x v="442"/>
    <x v="0"/>
  </r>
  <r>
    <d v="2020-05-22T00:00:00"/>
    <x v="8"/>
    <n v="53838"/>
    <x v="443"/>
    <n v="21"/>
    <n v="2861"/>
    <n v="2612"/>
    <x v="443"/>
    <x v="2"/>
  </r>
  <r>
    <d v="2020-06-01T00:00:00"/>
    <x v="8"/>
    <n v="40528.5"/>
    <x v="444"/>
    <n v="23"/>
    <n v="2531"/>
    <n v="2296"/>
    <x v="444"/>
    <x v="5"/>
  </r>
  <r>
    <d v="2020-05-11T00:00:00"/>
    <x v="8"/>
    <n v="32733"/>
    <x v="445"/>
    <n v="21"/>
    <n v="1916"/>
    <n v="1733"/>
    <x v="445"/>
    <x v="1"/>
  </r>
  <r>
    <d v="2020-05-29T00:00:00"/>
    <x v="7"/>
    <n v="84433.5"/>
    <x v="446"/>
    <n v="37"/>
    <n v="5672"/>
    <n v="5198"/>
    <x v="446"/>
    <x v="0"/>
  </r>
  <r>
    <d v="2020-05-18T00:00:00"/>
    <x v="8"/>
    <n v="36655.5"/>
    <x v="447"/>
    <n v="21"/>
    <n v="2136"/>
    <n v="1947"/>
    <x v="447"/>
    <x v="2"/>
  </r>
  <r>
    <d v="2020-05-14T00:00:00"/>
    <x v="8"/>
    <n v="33886.5"/>
    <x v="448"/>
    <n v="21"/>
    <n v="1993"/>
    <n v="1796"/>
    <x v="448"/>
    <x v="1"/>
  </r>
  <r>
    <d v="2020-05-15T00:00:00"/>
    <x v="8"/>
    <n v="41697"/>
    <x v="449"/>
    <n v="21"/>
    <n v="2255"/>
    <n v="2045"/>
    <x v="449"/>
    <x v="1"/>
  </r>
  <r>
    <d v="2020-05-29T00:00:00"/>
    <x v="8"/>
    <n v="44569.5"/>
    <x v="450"/>
    <n v="22"/>
    <n v="2597"/>
    <n v="2379"/>
    <x v="450"/>
    <x v="0"/>
  </r>
  <r>
    <d v="2020-05-27T00:00:00"/>
    <x v="9"/>
    <n v="18069"/>
    <x v="451"/>
    <n v="17"/>
    <n v="1203"/>
    <n v="1077"/>
    <x v="451"/>
    <x v="0"/>
  </r>
  <r>
    <d v="2020-05-22T00:00:00"/>
    <x v="9"/>
    <n v="21483"/>
    <x v="452"/>
    <n v="17"/>
    <n v="1268"/>
    <n v="1129"/>
    <x v="452"/>
    <x v="2"/>
  </r>
  <r>
    <d v="2020-06-01T00:00:00"/>
    <x v="9"/>
    <n v="16687.5"/>
    <x v="453"/>
    <n v="17"/>
    <n v="1185"/>
    <n v="1042"/>
    <x v="453"/>
    <x v="5"/>
  </r>
  <r>
    <d v="2020-05-11T00:00:00"/>
    <x v="9"/>
    <n v="12238.5"/>
    <x v="454"/>
    <n v="15"/>
    <n v="812"/>
    <n v="714"/>
    <x v="454"/>
    <x v="1"/>
  </r>
  <r>
    <d v="2020-05-18T00:00:00"/>
    <x v="9"/>
    <n v="14290.5"/>
    <x v="455"/>
    <n v="16"/>
    <n v="925"/>
    <n v="816"/>
    <x v="455"/>
    <x v="2"/>
  </r>
  <r>
    <d v="2020-05-14T00:00:00"/>
    <x v="9"/>
    <n v="14385"/>
    <x v="456"/>
    <n v="15"/>
    <n v="890"/>
    <n v="777"/>
    <x v="456"/>
    <x v="1"/>
  </r>
  <r>
    <d v="2020-05-15T00:00:00"/>
    <x v="9"/>
    <n v="16498.5"/>
    <x v="457"/>
    <n v="15"/>
    <n v="980"/>
    <n v="867"/>
    <x v="457"/>
    <x v="1"/>
  </r>
  <r>
    <d v="2020-05-27T00:00:00"/>
    <x v="10"/>
    <n v="13203"/>
    <x v="458"/>
    <n v="15"/>
    <n v="809"/>
    <n v="702"/>
    <x v="458"/>
    <x v="0"/>
  </r>
  <r>
    <d v="2020-05-22T00:00:00"/>
    <x v="10"/>
    <n v="15802.5"/>
    <x v="459"/>
    <n v="15"/>
    <n v="903"/>
    <n v="792"/>
    <x v="459"/>
    <x v="2"/>
  </r>
  <r>
    <d v="2020-06-01T00:00:00"/>
    <x v="10"/>
    <n v="16476"/>
    <x v="460"/>
    <n v="16"/>
    <n v="1019"/>
    <n v="895"/>
    <x v="460"/>
    <x v="5"/>
  </r>
  <r>
    <d v="2020-05-11T00:00:00"/>
    <x v="10"/>
    <n v="12654"/>
    <x v="461"/>
    <n v="15"/>
    <n v="684"/>
    <n v="585"/>
    <x v="461"/>
    <x v="1"/>
  </r>
  <r>
    <d v="2020-05-29T00:00:00"/>
    <x v="9"/>
    <n v="19647"/>
    <x v="462"/>
    <n v="17"/>
    <n v="1296"/>
    <n v="1153"/>
    <x v="462"/>
    <x v="0"/>
  </r>
  <r>
    <d v="2020-05-18T00:00:00"/>
    <x v="10"/>
    <n v="12450"/>
    <x v="463"/>
    <n v="15"/>
    <n v="729"/>
    <n v="636"/>
    <x v="463"/>
    <x v="2"/>
  </r>
  <r>
    <d v="2020-05-14T00:00:00"/>
    <x v="10"/>
    <n v="11161.5"/>
    <x v="464"/>
    <n v="15"/>
    <n v="638"/>
    <n v="548"/>
    <x v="464"/>
    <x v="1"/>
  </r>
  <r>
    <d v="2020-05-15T00:00:00"/>
    <x v="10"/>
    <n v="12229.5"/>
    <x v="465"/>
    <n v="15"/>
    <n v="688"/>
    <n v="598"/>
    <x v="465"/>
    <x v="1"/>
  </r>
  <r>
    <d v="2020-05-27T00:00:00"/>
    <x v="11"/>
    <n v="28050"/>
    <x v="466"/>
    <n v="20"/>
    <n v="1873"/>
    <n v="1715"/>
    <x v="466"/>
    <x v="0"/>
  </r>
  <r>
    <d v="2020-05-22T00:00:00"/>
    <x v="11"/>
    <n v="30781.5"/>
    <x v="467"/>
    <n v="19"/>
    <n v="1859"/>
    <n v="1697"/>
    <x v="467"/>
    <x v="2"/>
  </r>
  <r>
    <d v="2020-06-01T00:00:00"/>
    <x v="11"/>
    <n v="27960"/>
    <x v="468"/>
    <n v="21"/>
    <n v="1879"/>
    <n v="1720"/>
    <x v="468"/>
    <x v="5"/>
  </r>
  <r>
    <d v="2020-05-11T00:00:00"/>
    <x v="11"/>
    <n v="23629.5"/>
    <x v="469"/>
    <n v="19"/>
    <n v="1527"/>
    <n v="1389"/>
    <x v="469"/>
    <x v="1"/>
  </r>
  <r>
    <d v="2020-05-29T00:00:00"/>
    <x v="10"/>
    <n v="17052"/>
    <x v="470"/>
    <n v="16"/>
    <n v="981"/>
    <n v="859"/>
    <x v="470"/>
    <x v="0"/>
  </r>
  <r>
    <d v="2020-05-18T00:00:00"/>
    <x v="11"/>
    <n v="27181.5"/>
    <x v="471"/>
    <n v="19"/>
    <n v="1741"/>
    <n v="1597"/>
    <x v="471"/>
    <x v="2"/>
  </r>
  <r>
    <d v="2020-05-14T00:00:00"/>
    <x v="11"/>
    <n v="25656"/>
    <x v="472"/>
    <n v="19"/>
    <n v="1635"/>
    <n v="1487"/>
    <x v="472"/>
    <x v="1"/>
  </r>
  <r>
    <d v="2020-05-15T00:00:00"/>
    <x v="11"/>
    <n v="29283"/>
    <x v="473"/>
    <n v="19"/>
    <n v="1780"/>
    <n v="1615"/>
    <x v="473"/>
    <x v="1"/>
  </r>
  <r>
    <d v="2020-05-29T00:00:00"/>
    <x v="11"/>
    <n v="32782.5"/>
    <x v="474"/>
    <n v="20"/>
    <n v="2064"/>
    <n v="1896"/>
    <x v="474"/>
    <x v="0"/>
  </r>
  <r>
    <d v="2020-05-27T00:00:00"/>
    <x v="12"/>
    <n v="215592"/>
    <x v="475"/>
    <n v="59"/>
    <n v="13942"/>
    <n v="12986"/>
    <x v="475"/>
    <x v="0"/>
  </r>
  <r>
    <d v="2020-05-22T00:00:00"/>
    <x v="12"/>
    <n v="228334.5"/>
    <x v="476"/>
    <n v="60"/>
    <n v="14050"/>
    <n v="13027"/>
    <x v="476"/>
    <x v="2"/>
  </r>
  <r>
    <d v="2020-06-01T00:00:00"/>
    <x v="12"/>
    <n v="188776.5"/>
    <x v="477"/>
    <n v="59"/>
    <n v="12299"/>
    <n v="11448"/>
    <x v="477"/>
    <x v="5"/>
  </r>
  <r>
    <d v="2020-05-11T00:00:00"/>
    <x v="12"/>
    <n v="175293"/>
    <x v="478"/>
    <n v="60"/>
    <n v="11100"/>
    <n v="10407"/>
    <x v="478"/>
    <x v="1"/>
  </r>
  <r>
    <d v="2020-05-18T00:00:00"/>
    <x v="12"/>
    <n v="201999"/>
    <x v="479"/>
    <n v="60"/>
    <n v="12460"/>
    <n v="11665"/>
    <x v="479"/>
    <x v="2"/>
  </r>
  <r>
    <d v="2020-05-14T00:00:00"/>
    <x v="12"/>
    <n v="197946"/>
    <x v="480"/>
    <n v="60"/>
    <n v="11935"/>
    <n v="11178"/>
    <x v="480"/>
    <x v="1"/>
  </r>
  <r>
    <d v="2020-05-15T00:00:00"/>
    <x v="12"/>
    <n v="230896.5"/>
    <x v="481"/>
    <n v="60"/>
    <n v="13544"/>
    <n v="12643"/>
    <x v="481"/>
    <x v="1"/>
  </r>
  <r>
    <d v="2020-05-27T00:00:00"/>
    <x v="13"/>
    <n v="203532"/>
    <x v="482"/>
    <n v="54"/>
    <n v="13091"/>
    <n v="12216"/>
    <x v="482"/>
    <x v="0"/>
  </r>
  <r>
    <d v="2020-05-22T00:00:00"/>
    <x v="13"/>
    <n v="214428"/>
    <x v="483"/>
    <n v="54"/>
    <n v="13014"/>
    <n v="12095"/>
    <x v="483"/>
    <x v="2"/>
  </r>
  <r>
    <d v="2020-06-01T00:00:00"/>
    <x v="13"/>
    <n v="183228"/>
    <x v="484"/>
    <n v="54"/>
    <n v="11864"/>
    <n v="11071"/>
    <x v="484"/>
    <x v="5"/>
  </r>
  <r>
    <d v="2020-05-11T00:00:00"/>
    <x v="13"/>
    <n v="166948.5"/>
    <x v="485"/>
    <n v="54"/>
    <n v="10570"/>
    <n v="9926"/>
    <x v="485"/>
    <x v="1"/>
  </r>
  <r>
    <d v="2020-05-29T00:00:00"/>
    <x v="12"/>
    <n v="232102.5"/>
    <x v="486"/>
    <n v="59"/>
    <n v="14507"/>
    <n v="13386"/>
    <x v="486"/>
    <x v="0"/>
  </r>
  <r>
    <d v="2020-05-18T00:00:00"/>
    <x v="13"/>
    <n v="196560"/>
    <x v="487"/>
    <n v="54"/>
    <n v="12012"/>
    <n v="11308"/>
    <x v="487"/>
    <x v="2"/>
  </r>
  <r>
    <d v="2020-05-14T00:00:00"/>
    <x v="13"/>
    <n v="186496.5"/>
    <x v="488"/>
    <n v="54"/>
    <n v="11194"/>
    <n v="10554"/>
    <x v="488"/>
    <x v="1"/>
  </r>
  <r>
    <d v="2020-05-15T00:00:00"/>
    <x v="13"/>
    <n v="219772.5"/>
    <x v="489"/>
    <n v="54"/>
    <n v="12791"/>
    <n v="11950"/>
    <x v="489"/>
    <x v="1"/>
  </r>
  <r>
    <d v="2020-05-29T00:00:00"/>
    <x v="13"/>
    <n v="226476"/>
    <x v="490"/>
    <n v="54"/>
    <n v="14031"/>
    <n v="12943"/>
    <x v="490"/>
    <x v="0"/>
  </r>
  <r>
    <d v="2020-05-27T00:00:00"/>
    <x v="15"/>
    <n v="8362.5"/>
    <x v="491"/>
    <n v="7"/>
    <n v="409"/>
    <n v="329"/>
    <x v="491"/>
    <x v="0"/>
  </r>
  <r>
    <d v="2020-05-22T00:00:00"/>
    <x v="14"/>
    <n v="17008.5"/>
    <x v="492"/>
    <n v="18"/>
    <n v="985"/>
    <n v="861"/>
    <x v="492"/>
    <x v="2"/>
  </r>
  <r>
    <d v="2020-06-01T00:00:00"/>
    <x v="16"/>
    <n v="5166"/>
    <x v="493"/>
    <n v="9"/>
    <n v="294"/>
    <n v="224"/>
    <x v="493"/>
    <x v="5"/>
  </r>
  <r>
    <d v="2020-05-11T00:00:00"/>
    <x v="14"/>
    <n v="10941"/>
    <x v="494"/>
    <n v="15"/>
    <n v="654"/>
    <n v="564"/>
    <x v="494"/>
    <x v="1"/>
  </r>
  <r>
    <d v="2020-05-18T00:00:00"/>
    <x v="14"/>
    <n v="14497.5"/>
    <x v="495"/>
    <n v="16"/>
    <n v="864"/>
    <n v="765"/>
    <x v="495"/>
    <x v="2"/>
  </r>
  <r>
    <d v="2020-05-14T00:00:00"/>
    <x v="14"/>
    <n v="13810.5"/>
    <x v="496"/>
    <n v="16"/>
    <n v="834"/>
    <n v="735"/>
    <x v="496"/>
    <x v="1"/>
  </r>
  <r>
    <d v="2020-05-15T00:00:00"/>
    <x v="14"/>
    <n v="13752"/>
    <x v="497"/>
    <n v="16"/>
    <n v="817"/>
    <n v="718"/>
    <x v="497"/>
    <x v="1"/>
  </r>
  <r>
    <d v="2020-05-27T00:00:00"/>
    <x v="14"/>
    <n v="15276"/>
    <x v="498"/>
    <n v="18"/>
    <n v="962"/>
    <n v="859"/>
    <x v="498"/>
    <x v="0"/>
  </r>
  <r>
    <d v="2020-06-01T00:00:00"/>
    <x v="17"/>
    <n v="4408.5"/>
    <x v="499"/>
    <n v="6"/>
    <n v="237"/>
    <n v="175"/>
    <x v="499"/>
    <x v="5"/>
  </r>
  <r>
    <d v="2020-05-29T00:00:00"/>
    <x v="15"/>
    <n v="9927"/>
    <x v="500"/>
    <n v="7"/>
    <n v="491"/>
    <n v="411"/>
    <x v="500"/>
    <x v="0"/>
  </r>
  <r>
    <d v="2020-06-01T00:00:00"/>
    <x v="15"/>
    <n v="9474"/>
    <x v="501"/>
    <n v="7"/>
    <n v="500"/>
    <n v="418"/>
    <x v="501"/>
    <x v="5"/>
  </r>
  <r>
    <d v="2020-05-29T00:00:00"/>
    <x v="14"/>
    <n v="16878"/>
    <x v="502"/>
    <n v="18"/>
    <n v="1014"/>
    <n v="893"/>
    <x v="502"/>
    <x v="0"/>
  </r>
  <r>
    <d v="2020-06-01T00:00:00"/>
    <x v="14"/>
    <n v="14238"/>
    <x v="503"/>
    <n v="18"/>
    <n v="923"/>
    <n v="82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2924E-4250-4987-AA75-926F5E565FF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23" firstHeaderRow="1" firstDataRow="1" firstDataCol="1" rowPageCount="1" colPageCount="1"/>
  <pivotFields count="10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  <pivotField dragToRow="0" dragToCol="0" dragToPage="0" showAll="0" defaultSubtotal="0"/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item="5" hier="-1"/>
  </pageFields>
  <dataFields count="1">
    <dataField name="Sum of Товарооборот на склад" fld="7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708C6-CB68-4AC3-A865-3EBC312D627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3" firstHeaderRow="1" firstDataRow="1" firstDataCol="1"/>
  <pivotFields count="10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Sum of Товарооборот, руб" fld="3" showDataAs="percentOfTotal" baseField="1" baseItem="5" numFmtId="10"/>
  </dataFields>
  <formats count="3"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collapsedLevelsAreSubtotals="1" fieldPosition="0">
        <references count="1">
          <reference field="1" count="0"/>
        </references>
      </pivotArea>
    </format>
  </formats>
  <conditionalFormats count="1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88C77-3DE2-4D4D-A3E7-BFD690B87F18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5">
  <location ref="A3:D10" firstHeaderRow="0" firstDataRow="1" firstDataCol="1"/>
  <pivotFields count="10">
    <pivotField numFmtId="164" showAll="0"/>
    <pivotField showAll="0"/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dataField="1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Общий товарооборот, руб" fld="3" baseField="0" baseItem="0"/>
    <dataField name="Средний товарооборот на склад, руб" fld="7" subtotal="average" baseField="0" baseItem="0"/>
    <dataField name="Средневзвешенный ТО на склад, руб " fld="9" baseField="8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B21" sqref="B21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cm="1">
        <f t="array" ref="E2">_xlfn.XLOOKUP(1,(Лист2!$A$2:$A$505=Лист1!A2)*(Лист2!$B$2:$B$505=Лист1!B2),Лист2!$C$2:$C$505)</f>
        <v>15</v>
      </c>
      <c r="F2" cm="1">
        <f t="array" ref="F2">_xlfn.XLOOKUP(1,(Лист2!$A$2:$A$505=Лист1!A2)*(Лист2!$B$2:$B$505=Лист1!B2),Лист2!$D$2:$D$505)</f>
        <v>441</v>
      </c>
      <c r="G2" cm="1">
        <f t="array" ref="G2">_xlfn.XLOOKUP(1,(Лист2!$A$2:$A$505=Лист1!A2)*(Лист2!$B$2:$B$505=Лист1!B2),Лист2!$E$2:$E$505)</f>
        <v>368</v>
      </c>
      <c r="H2">
        <f>D2/E2</f>
        <v>41598.1</v>
      </c>
      <c r="I2">
        <f>WEEKNUM(A2, 2)</f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cm="1">
        <f t="array" ref="E3">_xlfn.XLOOKUP(1,(Лист2!$A$2:$A$505=Лист1!A3)*(Лист2!$B$2:$B$505=Лист1!B3),Лист2!$C$2:$C$505)</f>
        <v>15</v>
      </c>
      <c r="F3" cm="1">
        <f t="array" ref="F3">_xlfn.XLOOKUP(1,(Лист2!$A$2:$A$505=Лист1!A3)*(Лист2!$B$2:$B$505=Лист1!B3),Лист2!$D$2:$D$505)</f>
        <v>490</v>
      </c>
      <c r="G3" cm="1">
        <f t="array" ref="G3">_xlfn.XLOOKUP(1,(Лист2!$A$2:$A$505=Лист1!A3)*(Лист2!$B$2:$B$505=Лист1!B3),Лист2!$E$2:$E$505)</f>
        <v>409</v>
      </c>
      <c r="H3">
        <f t="shared" ref="H3:H66" si="0">D3/E3</f>
        <v>52473.4</v>
      </c>
      <c r="I3">
        <f t="shared" ref="I3:I66" si="1">WEEKNUM(A3, 2)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cm="1">
        <f t="array" ref="E4">_xlfn.XLOOKUP(1,(Лист2!$A$2:$A$505=Лист1!A4)*(Лист2!$B$2:$B$505=Лист1!B4),Лист2!$C$2:$C$505)</f>
        <v>15</v>
      </c>
      <c r="F4" cm="1">
        <f t="array" ref="F4">_xlfn.XLOOKUP(1,(Лист2!$A$2:$A$505=Лист1!A4)*(Лист2!$B$2:$B$505=Лист1!B4),Лист2!$D$2:$D$505)</f>
        <v>464</v>
      </c>
      <c r="G4" cm="1">
        <f t="array" ref="G4">_xlfn.XLOOKUP(1,(Лист2!$A$2:$A$505=Лист1!A4)*(Лист2!$B$2:$B$505=Лист1!B4),Лист2!$E$2:$E$505)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cm="1">
        <f t="array" ref="E5">_xlfn.XLOOKUP(1,(Лист2!$A$2:$A$505=Лист1!A5)*(Лист2!$B$2:$B$505=Лист1!B5),Лист2!$C$2:$C$505)</f>
        <v>21</v>
      </c>
      <c r="F5" cm="1">
        <f t="array" ref="F5">_xlfn.XLOOKUP(1,(Лист2!$A$2:$A$505=Лист1!A5)*(Лист2!$B$2:$B$505=Лист1!B5),Лист2!$D$2:$D$505)</f>
        <v>2145</v>
      </c>
      <c r="G5" cm="1">
        <f t="array" ref="G5">_xlfn.XLOOKUP(1,(Лист2!$A$2:$A$505=Лист1!A5)*(Лист2!$B$2:$B$505=Лист1!B5),Лист2!$E$2:$E$505)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cm="1">
        <f t="array" ref="E6">_xlfn.XLOOKUP(1,(Лист2!$A$2:$A$505=Лист1!A6)*(Лист2!$B$2:$B$505=Лист1!B6),Лист2!$C$2:$C$505)</f>
        <v>21</v>
      </c>
      <c r="F6" cm="1">
        <f t="array" ref="F6">_xlfn.XLOOKUP(1,(Лист2!$A$2:$A$505=Лист1!A6)*(Лист2!$B$2:$B$505=Лист1!B6),Лист2!$D$2:$D$505)</f>
        <v>1860</v>
      </c>
      <c r="G6" cm="1">
        <f t="array" ref="G6">_xlfn.XLOOKUP(1,(Лист2!$A$2:$A$505=Лист1!A6)*(Лист2!$B$2:$B$505=Лист1!B6),Лист2!$E$2:$E$505)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cm="1">
        <f t="array" ref="E7">_xlfn.XLOOKUP(1,(Лист2!$A$2:$A$505=Лист1!A7)*(Лист2!$B$2:$B$505=Лист1!B7),Лист2!$C$2:$C$505)</f>
        <v>21</v>
      </c>
      <c r="F7" cm="1">
        <f t="array" ref="F7">_xlfn.XLOOKUP(1,(Лист2!$A$2:$A$505=Лист1!A7)*(Лист2!$B$2:$B$505=Лист1!B7),Лист2!$D$2:$D$505)</f>
        <v>1874</v>
      </c>
      <c r="G7" cm="1">
        <f t="array" ref="G7">_xlfn.XLOOKUP(1,(Лист2!$A$2:$A$505=Лист1!A7)*(Лист2!$B$2:$B$505=Лист1!B7),Лист2!$E$2:$E$505)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cm="1">
        <f t="array" ref="E8">_xlfn.XLOOKUP(1,(Лист2!$A$2:$A$505=Лист1!A8)*(Лист2!$B$2:$B$505=Лист1!B8),Лист2!$C$2:$C$505)</f>
        <v>21</v>
      </c>
      <c r="F8" cm="1">
        <f t="array" ref="F8">_xlfn.XLOOKUP(1,(Лист2!$A$2:$A$505=Лист1!A8)*(Лист2!$B$2:$B$505=Лист1!B8),Лист2!$D$2:$D$505)</f>
        <v>1735</v>
      </c>
      <c r="G8" cm="1">
        <f t="array" ref="G8">_xlfn.XLOOKUP(1,(Лист2!$A$2:$A$505=Лист1!A8)*(Лист2!$B$2:$B$505=Лист1!B8),Лист2!$E$2:$E$505)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cm="1">
        <f t="array" ref="E9">_xlfn.XLOOKUP(1,(Лист2!$A$2:$A$505=Лист1!A9)*(Лист2!$B$2:$B$505=Лист1!B9),Лист2!$C$2:$C$505)</f>
        <v>20</v>
      </c>
      <c r="F9" cm="1">
        <f t="array" ref="F9">_xlfn.XLOOKUP(1,(Лист2!$A$2:$A$505=Лист1!A9)*(Лист2!$B$2:$B$505=Лист1!B9),Лист2!$D$2:$D$505)</f>
        <v>1519</v>
      </c>
      <c r="G9" cm="1">
        <f t="array" ref="G9">_xlfn.XLOOKUP(1,(Лист2!$A$2:$A$505=Лист1!A9)*(Лист2!$B$2:$B$505=Лист1!B9),Лист2!$E$2:$E$505)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cm="1">
        <f t="array" ref="E10">_xlfn.XLOOKUP(1,(Лист2!$A$2:$A$505=Лист1!A10)*(Лист2!$B$2:$B$505=Лист1!B10),Лист2!$C$2:$C$505)</f>
        <v>18</v>
      </c>
      <c r="F10" cm="1">
        <f t="array" ref="F10">_xlfn.XLOOKUP(1,(Лист2!$A$2:$A$505=Лист1!A10)*(Лист2!$B$2:$B$505=Лист1!B10),Лист2!$D$2:$D$505)</f>
        <v>1684</v>
      </c>
      <c r="G10" cm="1">
        <f t="array" ref="G10">_xlfn.XLOOKUP(1,(Лист2!$A$2:$A$505=Лист1!A10)*(Лист2!$B$2:$B$505=Лист1!B10),Лист2!$E$2:$E$505)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cm="1">
        <f t="array" ref="E11">_xlfn.XLOOKUP(1,(Лист2!$A$2:$A$505=Лист1!A11)*(Лист2!$B$2:$B$505=Лист1!B11),Лист2!$C$2:$C$505)</f>
        <v>18</v>
      </c>
      <c r="F11" cm="1">
        <f t="array" ref="F11">_xlfn.XLOOKUP(1,(Лист2!$A$2:$A$505=Лист1!A11)*(Лист2!$B$2:$B$505=Лист1!B11),Лист2!$D$2:$D$505)</f>
        <v>1708</v>
      </c>
      <c r="G11" cm="1">
        <f t="array" ref="G11">_xlfn.XLOOKUP(1,(Лист2!$A$2:$A$505=Лист1!A11)*(Лист2!$B$2:$B$505=Лист1!B11),Лист2!$E$2:$E$505)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cm="1">
        <f t="array" ref="E12">_xlfn.XLOOKUP(1,(Лист2!$A$2:$A$505=Лист1!A12)*(Лист2!$B$2:$B$505=Лист1!B12),Лист2!$C$2:$C$505)</f>
        <v>20</v>
      </c>
      <c r="F12" cm="1">
        <f t="array" ref="F12">_xlfn.XLOOKUP(1,(Лист2!$A$2:$A$505=Лист1!A12)*(Лист2!$B$2:$B$505=Лист1!B12),Лист2!$D$2:$D$505)</f>
        <v>2044</v>
      </c>
      <c r="G12" cm="1">
        <f t="array" ref="G12">_xlfn.XLOOKUP(1,(Лист2!$A$2:$A$505=Лист1!A12)*(Лист2!$B$2:$B$505=Лист1!B12),Лист2!$E$2:$E$505)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cm="1">
        <f t="array" ref="E13">_xlfn.XLOOKUP(1,(Лист2!$A$2:$A$505=Лист1!A13)*(Лист2!$B$2:$B$505=Лист1!B13),Лист2!$C$2:$C$505)</f>
        <v>18</v>
      </c>
      <c r="F13" cm="1">
        <f t="array" ref="F13">_xlfn.XLOOKUP(1,(Лист2!$A$2:$A$505=Лист1!A13)*(Лист2!$B$2:$B$505=Лист1!B13),Лист2!$D$2:$D$505)</f>
        <v>1826</v>
      </c>
      <c r="G13" cm="1">
        <f t="array" ref="G13">_xlfn.XLOOKUP(1,(Лист2!$A$2:$A$505=Лист1!A13)*(Лист2!$B$2:$B$505=Лист1!B13),Лист2!$E$2:$E$505)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cm="1">
        <f t="array" ref="E14">_xlfn.XLOOKUP(1,(Лист2!$A$2:$A$505=Лист1!A14)*(Лист2!$B$2:$B$505=Лист1!B14),Лист2!$C$2:$C$505)</f>
        <v>21</v>
      </c>
      <c r="F14" cm="1">
        <f t="array" ref="F14">_xlfn.XLOOKUP(1,(Лист2!$A$2:$A$505=Лист1!A14)*(Лист2!$B$2:$B$505=Лист1!B14),Лист2!$D$2:$D$505)</f>
        <v>1656</v>
      </c>
      <c r="G14" cm="1">
        <f t="array" ref="G14">_xlfn.XLOOKUP(1,(Лист2!$A$2:$A$505=Лист1!A14)*(Лист2!$B$2:$B$505=Лист1!B14),Лист2!$E$2:$E$505)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cm="1">
        <f t="array" ref="E15">_xlfn.XLOOKUP(1,(Лист2!$A$2:$A$505=Лист1!A15)*(Лист2!$B$2:$B$505=Лист1!B15),Лист2!$C$2:$C$505)</f>
        <v>21</v>
      </c>
      <c r="F15" cm="1">
        <f t="array" ref="F15">_xlfn.XLOOKUP(1,(Лист2!$A$2:$A$505=Лист1!A15)*(Лист2!$B$2:$B$505=Лист1!B15),Лист2!$D$2:$D$505)</f>
        <v>1787</v>
      </c>
      <c r="G15" cm="1">
        <f t="array" ref="G15">_xlfn.XLOOKUP(1,(Лист2!$A$2:$A$505=Лист1!A15)*(Лист2!$B$2:$B$505=Лист1!B15),Лист2!$E$2:$E$505)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cm="1">
        <f t="array" ref="E16">_xlfn.XLOOKUP(1,(Лист2!$A$2:$A$505=Лист1!A16)*(Лист2!$B$2:$B$505=Лист1!B16),Лист2!$C$2:$C$505)</f>
        <v>21</v>
      </c>
      <c r="F16" cm="1">
        <f t="array" ref="F16">_xlfn.XLOOKUP(1,(Лист2!$A$2:$A$505=Лист1!A16)*(Лист2!$B$2:$B$505=Лист1!B16),Лист2!$D$2:$D$505)</f>
        <v>1921</v>
      </c>
      <c r="G16" cm="1">
        <f t="array" ref="G16">_xlfn.XLOOKUP(1,(Лист2!$A$2:$A$505=Лист1!A16)*(Лист2!$B$2:$B$505=Лист1!B16),Лист2!$E$2:$E$505)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cm="1">
        <f t="array" ref="E17">_xlfn.XLOOKUP(1,(Лист2!$A$2:$A$505=Лист1!A17)*(Лист2!$B$2:$B$505=Лист1!B17),Лист2!$C$2:$C$505)</f>
        <v>20</v>
      </c>
      <c r="F17" cm="1">
        <f t="array" ref="F17">_xlfn.XLOOKUP(1,(Лист2!$A$2:$A$505=Лист1!A17)*(Лист2!$B$2:$B$505=Лист1!B17),Лист2!$D$2:$D$505)</f>
        <v>1773</v>
      </c>
      <c r="G17" cm="1">
        <f t="array" ref="G17">_xlfn.XLOOKUP(1,(Лист2!$A$2:$A$505=Лист1!A17)*(Лист2!$B$2:$B$505=Лист1!B17),Лист2!$E$2:$E$505)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cm="1">
        <f t="array" ref="E18">_xlfn.XLOOKUP(1,(Лист2!$A$2:$A$505=Лист1!A18)*(Лист2!$B$2:$B$505=Лист1!B18),Лист2!$C$2:$C$505)</f>
        <v>18</v>
      </c>
      <c r="F18" cm="1">
        <f t="array" ref="F18">_xlfn.XLOOKUP(1,(Лист2!$A$2:$A$505=Лист1!A18)*(Лист2!$B$2:$B$505=Лист1!B18),Лист2!$D$2:$D$505)</f>
        <v>1539</v>
      </c>
      <c r="G18" cm="1">
        <f t="array" ref="G18">_xlfn.XLOOKUP(1,(Лист2!$A$2:$A$505=Лист1!A18)*(Лист2!$B$2:$B$505=Лист1!B18),Лист2!$E$2:$E$505)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cm="1">
        <f t="array" ref="E19">_xlfn.XLOOKUP(1,(Лист2!$A$2:$A$505=Лист1!A19)*(Лист2!$B$2:$B$505=Лист1!B19),Лист2!$C$2:$C$505)</f>
        <v>21</v>
      </c>
      <c r="F19" cm="1">
        <f t="array" ref="F19">_xlfn.XLOOKUP(1,(Лист2!$A$2:$A$505=Лист1!A19)*(Лист2!$B$2:$B$505=Лист1!B19),Лист2!$D$2:$D$505)</f>
        <v>1698</v>
      </c>
      <c r="G19" cm="1">
        <f t="array" ref="G19">_xlfn.XLOOKUP(1,(Лист2!$A$2:$A$505=Лист1!A19)*(Лист2!$B$2:$B$505=Лист1!B19),Лист2!$E$2:$E$505)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cm="1">
        <f t="array" ref="E20">_xlfn.XLOOKUP(1,(Лист2!$A$2:$A$505=Лист1!A20)*(Лист2!$B$2:$B$505=Лист1!B20),Лист2!$C$2:$C$505)</f>
        <v>20</v>
      </c>
      <c r="F20" cm="1">
        <f t="array" ref="F20">_xlfn.XLOOKUP(1,(Лист2!$A$2:$A$505=Лист1!A20)*(Лист2!$B$2:$B$505=Лист1!B20),Лист2!$D$2:$D$505)</f>
        <v>1520</v>
      </c>
      <c r="G20" cm="1">
        <f t="array" ref="G20">_xlfn.XLOOKUP(1,(Лист2!$A$2:$A$505=Лист1!A20)*(Лист2!$B$2:$B$505=Лист1!B20),Лист2!$E$2:$E$505)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cm="1">
        <f t="array" ref="E21">_xlfn.XLOOKUP(1,(Лист2!$A$2:$A$505=Лист1!A21)*(Лист2!$B$2:$B$505=Лист1!B21),Лист2!$C$2:$C$505)</f>
        <v>20</v>
      </c>
      <c r="F21" cm="1">
        <f t="array" ref="F21">_xlfn.XLOOKUP(1,(Лист2!$A$2:$A$505=Лист1!A21)*(Лист2!$B$2:$B$505=Лист1!B21),Лист2!$D$2:$D$505)</f>
        <v>1784</v>
      </c>
      <c r="G21" cm="1">
        <f t="array" ref="G21">_xlfn.XLOOKUP(1,(Лист2!$A$2:$A$505=Лист1!A21)*(Лист2!$B$2:$B$505=Лист1!B21),Лист2!$E$2:$E$505)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cm="1">
        <f t="array" ref="E22">_xlfn.XLOOKUP(1,(Лист2!$A$2:$A$505=Лист1!A22)*(Лист2!$B$2:$B$505=Лист1!B22),Лист2!$C$2:$C$505)</f>
        <v>21</v>
      </c>
      <c r="F22" cm="1">
        <f t="array" ref="F22">_xlfn.XLOOKUP(1,(Лист2!$A$2:$A$505=Лист1!A22)*(Лист2!$B$2:$B$505=Лист1!B22),Лист2!$D$2:$D$505)</f>
        <v>2340</v>
      </c>
      <c r="G22" cm="1">
        <f t="array" ref="G22">_xlfn.XLOOKUP(1,(Лист2!$A$2:$A$505=Лист1!A22)*(Лист2!$B$2:$B$505=Лист1!B22),Лист2!$E$2:$E$505)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cm="1">
        <f t="array" ref="E23">_xlfn.XLOOKUP(1,(Лист2!$A$2:$A$505=Лист1!A23)*(Лист2!$B$2:$B$505=Лист1!B23),Лист2!$C$2:$C$505)</f>
        <v>20</v>
      </c>
      <c r="F23" cm="1">
        <f t="array" ref="F23">_xlfn.XLOOKUP(1,(Лист2!$A$2:$A$505=Лист1!A23)*(Лист2!$B$2:$B$505=Лист1!B23),Лист2!$D$2:$D$505)</f>
        <v>2087</v>
      </c>
      <c r="G23" cm="1">
        <f t="array" ref="G23">_xlfn.XLOOKUP(1,(Лист2!$A$2:$A$505=Лист1!A23)*(Лист2!$B$2:$B$505=Лист1!B23),Лист2!$E$2:$E$505)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cm="1">
        <f t="array" ref="E24">_xlfn.XLOOKUP(1,(Лист2!$A$2:$A$505=Лист1!A24)*(Лист2!$B$2:$B$505=Лист1!B24),Лист2!$C$2:$C$505)</f>
        <v>19</v>
      </c>
      <c r="F24" cm="1">
        <f t="array" ref="F24">_xlfn.XLOOKUP(1,(Лист2!$A$2:$A$505=Лист1!A24)*(Лист2!$B$2:$B$505=Лист1!B24),Лист2!$D$2:$D$505)</f>
        <v>1712</v>
      </c>
      <c r="G24" cm="1">
        <f t="array" ref="G24">_xlfn.XLOOKUP(1,(Лист2!$A$2:$A$505=Лист1!A24)*(Лист2!$B$2:$B$505=Лист1!B24),Лист2!$E$2:$E$505)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cm="1">
        <f t="array" ref="E25">_xlfn.XLOOKUP(1,(Лист2!$A$2:$A$505=Лист1!A25)*(Лист2!$B$2:$B$505=Лист1!B25),Лист2!$C$2:$C$505)</f>
        <v>21</v>
      </c>
      <c r="F25" cm="1">
        <f t="array" ref="F25">_xlfn.XLOOKUP(1,(Лист2!$A$2:$A$505=Лист1!A25)*(Лист2!$B$2:$B$505=Лист1!B25),Лист2!$D$2:$D$505)</f>
        <v>2016</v>
      </c>
      <c r="G25" cm="1">
        <f t="array" ref="G25">_xlfn.XLOOKUP(1,(Лист2!$A$2:$A$505=Лист1!A25)*(Лист2!$B$2:$B$505=Лист1!B25),Лист2!$E$2:$E$505)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cm="1">
        <f t="array" ref="E26">_xlfn.XLOOKUP(1,(Лист2!$A$2:$A$505=Лист1!A26)*(Лист2!$B$2:$B$505=Лист1!B26),Лист2!$C$2:$C$505)</f>
        <v>21</v>
      </c>
      <c r="F26" cm="1">
        <f t="array" ref="F26">_xlfn.XLOOKUP(1,(Лист2!$A$2:$A$505=Лист1!A26)*(Лист2!$B$2:$B$505=Лист1!B26),Лист2!$D$2:$D$505)</f>
        <v>1646</v>
      </c>
      <c r="G26" cm="1">
        <f t="array" ref="G26">_xlfn.XLOOKUP(1,(Лист2!$A$2:$A$505=Лист1!A26)*(Лист2!$B$2:$B$505=Лист1!B26),Лист2!$E$2:$E$505)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cm="1">
        <f t="array" ref="E27">_xlfn.XLOOKUP(1,(Лист2!$A$2:$A$505=Лист1!A27)*(Лист2!$B$2:$B$505=Лист1!B27),Лист2!$C$2:$C$505)</f>
        <v>21</v>
      </c>
      <c r="F27" cm="1">
        <f t="array" ref="F27">_xlfn.XLOOKUP(1,(Лист2!$A$2:$A$505=Лист1!A27)*(Лист2!$B$2:$B$505=Лист1!B27),Лист2!$D$2:$D$505)</f>
        <v>1542</v>
      </c>
      <c r="G27" cm="1">
        <f t="array" ref="G27">_xlfn.XLOOKUP(1,(Лист2!$A$2:$A$505=Лист1!A27)*(Лист2!$B$2:$B$505=Лист1!B27),Лист2!$E$2:$E$505)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cm="1">
        <f t="array" ref="E28">_xlfn.XLOOKUP(1,(Лист2!$A$2:$A$505=Лист1!A28)*(Лист2!$B$2:$B$505=Лист1!B28),Лист2!$C$2:$C$505)</f>
        <v>20</v>
      </c>
      <c r="F28" cm="1">
        <f t="array" ref="F28">_xlfn.XLOOKUP(1,(Лист2!$A$2:$A$505=Лист1!A28)*(Лист2!$B$2:$B$505=Лист1!B28),Лист2!$D$2:$D$505)</f>
        <v>1999</v>
      </c>
      <c r="G28" cm="1">
        <f t="array" ref="G28">_xlfn.XLOOKUP(1,(Лист2!$A$2:$A$505=Лист1!A28)*(Лист2!$B$2:$B$505=Лист1!B28),Лист2!$E$2:$E$505)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cm="1">
        <f t="array" ref="E29">_xlfn.XLOOKUP(1,(Лист2!$A$2:$A$505=Лист1!A29)*(Лист2!$B$2:$B$505=Лист1!B29),Лист2!$C$2:$C$505)</f>
        <v>21</v>
      </c>
      <c r="F29" cm="1">
        <f t="array" ref="F29">_xlfn.XLOOKUP(1,(Лист2!$A$2:$A$505=Лист1!A29)*(Лист2!$B$2:$B$505=Лист1!B29),Лист2!$D$2:$D$505)</f>
        <v>2271</v>
      </c>
      <c r="G29" cm="1">
        <f t="array" ref="G29">_xlfn.XLOOKUP(1,(Лист2!$A$2:$A$505=Лист1!A29)*(Лист2!$B$2:$B$505=Лист1!B29),Лист2!$E$2:$E$505)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cm="1">
        <f t="array" ref="E30">_xlfn.XLOOKUP(1,(Лист2!$A$2:$A$505=Лист1!A30)*(Лист2!$B$2:$B$505=Лист1!B30),Лист2!$C$2:$C$505)</f>
        <v>20</v>
      </c>
      <c r="F30" cm="1">
        <f t="array" ref="F30">_xlfn.XLOOKUP(1,(Лист2!$A$2:$A$505=Лист1!A30)*(Лист2!$B$2:$B$505=Лист1!B30),Лист2!$D$2:$D$505)</f>
        <v>2597</v>
      </c>
      <c r="G30" cm="1">
        <f t="array" ref="G30">_xlfn.XLOOKUP(1,(Лист2!$A$2:$A$505=Лист1!A30)*(Лист2!$B$2:$B$505=Лист1!B30),Лист2!$E$2:$E$505)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cm="1">
        <f t="array" ref="E31">_xlfn.XLOOKUP(1,(Лист2!$A$2:$A$505=Лист1!A31)*(Лист2!$B$2:$B$505=Лист1!B31),Лист2!$C$2:$C$505)</f>
        <v>20</v>
      </c>
      <c r="F31" cm="1">
        <f t="array" ref="F31">_xlfn.XLOOKUP(1,(Лист2!$A$2:$A$505=Лист1!A31)*(Лист2!$B$2:$B$505=Лист1!B31),Лист2!$D$2:$D$505)</f>
        <v>1886</v>
      </c>
      <c r="G31" cm="1">
        <f t="array" ref="G31">_xlfn.XLOOKUP(1,(Лист2!$A$2:$A$505=Лист1!A31)*(Лист2!$B$2:$B$505=Лист1!B31),Лист2!$E$2:$E$505)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cm="1">
        <f t="array" ref="E32">_xlfn.XLOOKUP(1,(Лист2!$A$2:$A$505=Лист1!A32)*(Лист2!$B$2:$B$505=Лист1!B32),Лист2!$C$2:$C$505)</f>
        <v>31</v>
      </c>
      <c r="F32" cm="1">
        <f t="array" ref="F32">_xlfn.XLOOKUP(1,(Лист2!$A$2:$A$505=Лист1!A32)*(Лист2!$B$2:$B$505=Лист1!B32),Лист2!$D$2:$D$505)</f>
        <v>5593</v>
      </c>
      <c r="G32" cm="1">
        <f t="array" ref="G32">_xlfn.XLOOKUP(1,(Лист2!$A$2:$A$505=Лист1!A32)*(Лист2!$B$2:$B$505=Лист1!B32),Лист2!$E$2:$E$505)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cm="1">
        <f t="array" ref="E33">_xlfn.XLOOKUP(1,(Лист2!$A$2:$A$505=Лист1!A33)*(Лист2!$B$2:$B$505=Лист1!B33),Лист2!$C$2:$C$505)</f>
        <v>31</v>
      </c>
      <c r="F33" cm="1">
        <f t="array" ref="F33">_xlfn.XLOOKUP(1,(Лист2!$A$2:$A$505=Лист1!A33)*(Лист2!$B$2:$B$505=Лист1!B33),Лист2!$D$2:$D$505)</f>
        <v>5389</v>
      </c>
      <c r="G33" cm="1">
        <f t="array" ref="G33">_xlfn.XLOOKUP(1,(Лист2!$A$2:$A$505=Лист1!A33)*(Лист2!$B$2:$B$505=Лист1!B33),Лист2!$E$2:$E$505)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cm="1">
        <f t="array" ref="E34">_xlfn.XLOOKUP(1,(Лист2!$A$2:$A$505=Лист1!A34)*(Лист2!$B$2:$B$505=Лист1!B34),Лист2!$C$2:$C$505)</f>
        <v>31</v>
      </c>
      <c r="F34" cm="1">
        <f t="array" ref="F34">_xlfn.XLOOKUP(1,(Лист2!$A$2:$A$505=Лист1!A34)*(Лист2!$B$2:$B$505=Лист1!B34),Лист2!$D$2:$D$505)</f>
        <v>5206</v>
      </c>
      <c r="G34" cm="1">
        <f t="array" ref="G34">_xlfn.XLOOKUP(1,(Лист2!$A$2:$A$505=Лист1!A34)*(Лист2!$B$2:$B$505=Лист1!B34),Лист2!$E$2:$E$505)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cm="1">
        <f t="array" ref="E35">_xlfn.XLOOKUP(1,(Лист2!$A$2:$A$505=Лист1!A35)*(Лист2!$B$2:$B$505=Лист1!B35),Лист2!$C$2:$C$505)</f>
        <v>31</v>
      </c>
      <c r="F35" cm="1">
        <f t="array" ref="F35">_xlfn.XLOOKUP(1,(Лист2!$A$2:$A$505=Лист1!A35)*(Лист2!$B$2:$B$505=Лист1!B35),Лист2!$D$2:$D$505)</f>
        <v>4556</v>
      </c>
      <c r="G35" cm="1">
        <f t="array" ref="G35">_xlfn.XLOOKUP(1,(Лист2!$A$2:$A$505=Лист1!A35)*(Лист2!$B$2:$B$505=Лист1!B35),Лист2!$E$2:$E$505)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cm="1">
        <f t="array" ref="E36">_xlfn.XLOOKUP(1,(Лист2!$A$2:$A$505=Лист1!A36)*(Лист2!$B$2:$B$505=Лист1!B36),Лист2!$C$2:$C$505)</f>
        <v>31</v>
      </c>
      <c r="F36" cm="1">
        <f t="array" ref="F36">_xlfn.XLOOKUP(1,(Лист2!$A$2:$A$505=Лист1!A36)*(Лист2!$B$2:$B$505=Лист1!B36),Лист2!$D$2:$D$505)</f>
        <v>4968</v>
      </c>
      <c r="G36" cm="1">
        <f t="array" ref="G36">_xlfn.XLOOKUP(1,(Лист2!$A$2:$A$505=Лист1!A36)*(Лист2!$B$2:$B$505=Лист1!B36),Лист2!$E$2:$E$505)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cm="1">
        <f t="array" ref="E37">_xlfn.XLOOKUP(1,(Лист2!$A$2:$A$505=Лист1!A37)*(Лист2!$B$2:$B$505=Лист1!B37),Лист2!$C$2:$C$505)</f>
        <v>31</v>
      </c>
      <c r="F37" cm="1">
        <f t="array" ref="F37">_xlfn.XLOOKUP(1,(Лист2!$A$2:$A$505=Лист1!A37)*(Лист2!$B$2:$B$505=Лист1!B37),Лист2!$D$2:$D$505)</f>
        <v>5378</v>
      </c>
      <c r="G37" cm="1">
        <f t="array" ref="G37">_xlfn.XLOOKUP(1,(Лист2!$A$2:$A$505=Лист1!A37)*(Лист2!$B$2:$B$505=Лист1!B37),Лист2!$E$2:$E$505)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cm="1">
        <f t="array" ref="E38">_xlfn.XLOOKUP(1,(Лист2!$A$2:$A$505=Лист1!A38)*(Лист2!$B$2:$B$505=Лист1!B38),Лист2!$C$2:$C$505)</f>
        <v>31</v>
      </c>
      <c r="F38" cm="1">
        <f t="array" ref="F38">_xlfn.XLOOKUP(1,(Лист2!$A$2:$A$505=Лист1!A38)*(Лист2!$B$2:$B$505=Лист1!B38),Лист2!$D$2:$D$505)</f>
        <v>4157</v>
      </c>
      <c r="G38" cm="1">
        <f t="array" ref="G38">_xlfn.XLOOKUP(1,(Лист2!$A$2:$A$505=Лист1!A38)*(Лист2!$B$2:$B$505=Лист1!B38),Лист2!$E$2:$E$505)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cm="1">
        <f t="array" ref="E39">_xlfn.XLOOKUP(1,(Лист2!$A$2:$A$505=Лист1!A39)*(Лист2!$B$2:$B$505=Лист1!B39),Лист2!$C$2:$C$505)</f>
        <v>31</v>
      </c>
      <c r="F39" cm="1">
        <f t="array" ref="F39">_xlfn.XLOOKUP(1,(Лист2!$A$2:$A$505=Лист1!A39)*(Лист2!$B$2:$B$505=Лист1!B39),Лист2!$D$2:$D$505)</f>
        <v>5493</v>
      </c>
      <c r="G39" cm="1">
        <f t="array" ref="G39">_xlfn.XLOOKUP(1,(Лист2!$A$2:$A$505=Лист1!A39)*(Лист2!$B$2:$B$505=Лист1!B39),Лист2!$E$2:$E$505)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cm="1">
        <f t="array" ref="E40">_xlfn.XLOOKUP(1,(Лист2!$A$2:$A$505=Лист1!A40)*(Лист2!$B$2:$B$505=Лист1!B40),Лист2!$C$2:$C$505)</f>
        <v>31</v>
      </c>
      <c r="F40" cm="1">
        <f t="array" ref="F40">_xlfn.XLOOKUP(1,(Лист2!$A$2:$A$505=Лист1!A40)*(Лист2!$B$2:$B$505=Лист1!B40),Лист2!$D$2:$D$505)</f>
        <v>6118</v>
      </c>
      <c r="G40" cm="1">
        <f t="array" ref="G40">_xlfn.XLOOKUP(1,(Лист2!$A$2:$A$505=Лист1!A40)*(Лист2!$B$2:$B$505=Лист1!B40),Лист2!$E$2:$E$505)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cm="1">
        <f t="array" ref="E41">_xlfn.XLOOKUP(1,(Лист2!$A$2:$A$505=Лист1!A41)*(Лист2!$B$2:$B$505=Лист1!B41),Лист2!$C$2:$C$505)</f>
        <v>31</v>
      </c>
      <c r="F41" cm="1">
        <f t="array" ref="F41">_xlfn.XLOOKUP(1,(Лист2!$A$2:$A$505=Лист1!A41)*(Лист2!$B$2:$B$505=Лист1!B41),Лист2!$D$2:$D$505)</f>
        <v>4800</v>
      </c>
      <c r="G41" cm="1">
        <f t="array" ref="G41">_xlfn.XLOOKUP(1,(Лист2!$A$2:$A$505=Лист1!A41)*(Лист2!$B$2:$B$505=Лист1!B41),Лист2!$E$2:$E$505)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cm="1">
        <f t="array" ref="E42">_xlfn.XLOOKUP(1,(Лист2!$A$2:$A$505=Лист1!A42)*(Лист2!$B$2:$B$505=Лист1!B42),Лист2!$C$2:$C$505)</f>
        <v>31</v>
      </c>
      <c r="F42" cm="1">
        <f t="array" ref="F42">_xlfn.XLOOKUP(1,(Лист2!$A$2:$A$505=Лист1!A42)*(Лист2!$B$2:$B$505=Лист1!B42),Лист2!$D$2:$D$505)</f>
        <v>5207</v>
      </c>
      <c r="G42" cm="1">
        <f t="array" ref="G42">_xlfn.XLOOKUP(1,(Лист2!$A$2:$A$505=Лист1!A42)*(Лист2!$B$2:$B$505=Лист1!B42),Лист2!$E$2:$E$505)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cm="1">
        <f t="array" ref="E43">_xlfn.XLOOKUP(1,(Лист2!$A$2:$A$505=Лист1!A43)*(Лист2!$B$2:$B$505=Лист1!B43),Лист2!$C$2:$C$505)</f>
        <v>31</v>
      </c>
      <c r="F43" cm="1">
        <f t="array" ref="F43">_xlfn.XLOOKUP(1,(Лист2!$A$2:$A$505=Лист1!A43)*(Лист2!$B$2:$B$505=Лист1!B43),Лист2!$D$2:$D$505)</f>
        <v>5698</v>
      </c>
      <c r="G43" cm="1">
        <f t="array" ref="G43">_xlfn.XLOOKUP(1,(Лист2!$A$2:$A$505=Лист1!A43)*(Лист2!$B$2:$B$505=Лист1!B43),Лист2!$E$2:$E$505)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cm="1">
        <f t="array" ref="E44">_xlfn.XLOOKUP(1,(Лист2!$A$2:$A$505=Лист1!A44)*(Лист2!$B$2:$B$505=Лист1!B44),Лист2!$C$2:$C$505)</f>
        <v>31</v>
      </c>
      <c r="F44" cm="1">
        <f t="array" ref="F44">_xlfn.XLOOKUP(1,(Лист2!$A$2:$A$505=Лист1!A44)*(Лист2!$B$2:$B$505=Лист1!B44),Лист2!$D$2:$D$505)</f>
        <v>5188</v>
      </c>
      <c r="G44" cm="1">
        <f t="array" ref="G44">_xlfn.XLOOKUP(1,(Лист2!$A$2:$A$505=Лист1!A44)*(Лист2!$B$2:$B$505=Лист1!B44),Лист2!$E$2:$E$505)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cm="1">
        <f t="array" ref="E45">_xlfn.XLOOKUP(1,(Лист2!$A$2:$A$505=Лист1!A45)*(Лист2!$B$2:$B$505=Лист1!B45),Лист2!$C$2:$C$505)</f>
        <v>31</v>
      </c>
      <c r="F45" cm="1">
        <f t="array" ref="F45">_xlfn.XLOOKUP(1,(Лист2!$A$2:$A$505=Лист1!A45)*(Лист2!$B$2:$B$505=Лист1!B45),Лист2!$D$2:$D$505)</f>
        <v>5465</v>
      </c>
      <c r="G45" cm="1">
        <f t="array" ref="G45">_xlfn.XLOOKUP(1,(Лист2!$A$2:$A$505=Лист1!A45)*(Лист2!$B$2:$B$505=Лист1!B45),Лист2!$E$2:$E$505)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cm="1">
        <f t="array" ref="E46">_xlfn.XLOOKUP(1,(Лист2!$A$2:$A$505=Лист1!A46)*(Лист2!$B$2:$B$505=Лист1!B46),Лист2!$C$2:$C$505)</f>
        <v>31</v>
      </c>
      <c r="F46" cm="1">
        <f t="array" ref="F46">_xlfn.XLOOKUP(1,(Лист2!$A$2:$A$505=Лист1!A46)*(Лист2!$B$2:$B$505=Лист1!B46),Лист2!$D$2:$D$505)</f>
        <v>5251</v>
      </c>
      <c r="G46" cm="1">
        <f t="array" ref="G46">_xlfn.XLOOKUP(1,(Лист2!$A$2:$A$505=Лист1!A46)*(Лист2!$B$2:$B$505=Лист1!B46),Лист2!$E$2:$E$505)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cm="1">
        <f t="array" ref="E47">_xlfn.XLOOKUP(1,(Лист2!$A$2:$A$505=Лист1!A47)*(Лист2!$B$2:$B$505=Лист1!B47),Лист2!$C$2:$C$505)</f>
        <v>31</v>
      </c>
      <c r="F47" cm="1">
        <f t="array" ref="F47">_xlfn.XLOOKUP(1,(Лист2!$A$2:$A$505=Лист1!A47)*(Лист2!$B$2:$B$505=Лист1!B47),Лист2!$D$2:$D$505)</f>
        <v>5155</v>
      </c>
      <c r="G47" cm="1">
        <f t="array" ref="G47">_xlfn.XLOOKUP(1,(Лист2!$A$2:$A$505=Лист1!A47)*(Лист2!$B$2:$B$505=Лист1!B47),Лист2!$E$2:$E$505)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cm="1">
        <f t="array" ref="E48">_xlfn.XLOOKUP(1,(Лист2!$A$2:$A$505=Лист1!A48)*(Лист2!$B$2:$B$505=Лист1!B48),Лист2!$C$2:$C$505)</f>
        <v>31</v>
      </c>
      <c r="F48" cm="1">
        <f t="array" ref="F48">_xlfn.XLOOKUP(1,(Лист2!$A$2:$A$505=Лист1!A48)*(Лист2!$B$2:$B$505=Лист1!B48),Лист2!$D$2:$D$505)</f>
        <v>4709</v>
      </c>
      <c r="G48" cm="1">
        <f t="array" ref="G48">_xlfn.XLOOKUP(1,(Лист2!$A$2:$A$505=Лист1!A48)*(Лист2!$B$2:$B$505=Лист1!B48),Лист2!$E$2:$E$505)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cm="1">
        <f t="array" ref="E49">_xlfn.XLOOKUP(1,(Лист2!$A$2:$A$505=Лист1!A49)*(Лист2!$B$2:$B$505=Лист1!B49),Лист2!$C$2:$C$505)</f>
        <v>31</v>
      </c>
      <c r="F49" cm="1">
        <f t="array" ref="F49">_xlfn.XLOOKUP(1,(Лист2!$A$2:$A$505=Лист1!A49)*(Лист2!$B$2:$B$505=Лист1!B49),Лист2!$D$2:$D$505)</f>
        <v>6276</v>
      </c>
      <c r="G49" cm="1">
        <f t="array" ref="G49">_xlfn.XLOOKUP(1,(Лист2!$A$2:$A$505=Лист1!A49)*(Лист2!$B$2:$B$505=Лист1!B49),Лист2!$E$2:$E$505)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cm="1">
        <f t="array" ref="E50">_xlfn.XLOOKUP(1,(Лист2!$A$2:$A$505=Лист1!A50)*(Лист2!$B$2:$B$505=Лист1!B50),Лист2!$C$2:$C$505)</f>
        <v>31</v>
      </c>
      <c r="F50" cm="1">
        <f t="array" ref="F50">_xlfn.XLOOKUP(1,(Лист2!$A$2:$A$505=Лист1!A50)*(Лист2!$B$2:$B$505=Лист1!B50),Лист2!$D$2:$D$505)</f>
        <v>5210</v>
      </c>
      <c r="G50" cm="1">
        <f t="array" ref="G50">_xlfn.XLOOKUP(1,(Лист2!$A$2:$A$505=Лист1!A50)*(Лист2!$B$2:$B$505=Лист1!B50),Лист2!$E$2:$E$505)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cm="1">
        <f t="array" ref="E51">_xlfn.XLOOKUP(1,(Лист2!$A$2:$A$505=Лист1!A51)*(Лист2!$B$2:$B$505=Лист1!B51),Лист2!$C$2:$C$505)</f>
        <v>31</v>
      </c>
      <c r="F51" cm="1">
        <f t="array" ref="F51">_xlfn.XLOOKUP(1,(Лист2!$A$2:$A$505=Лист1!A51)*(Лист2!$B$2:$B$505=Лист1!B51),Лист2!$D$2:$D$505)</f>
        <v>5120</v>
      </c>
      <c r="G51" cm="1">
        <f t="array" ref="G51">_xlfn.XLOOKUP(1,(Лист2!$A$2:$A$505=Лист1!A51)*(Лист2!$B$2:$B$505=Лист1!B51),Лист2!$E$2:$E$505)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cm="1">
        <f t="array" ref="E52">_xlfn.XLOOKUP(1,(Лист2!$A$2:$A$505=Лист1!A52)*(Лист2!$B$2:$B$505=Лист1!B52),Лист2!$C$2:$C$505)</f>
        <v>31</v>
      </c>
      <c r="F52" cm="1">
        <f t="array" ref="F52">_xlfn.XLOOKUP(1,(Лист2!$A$2:$A$505=Лист1!A52)*(Лист2!$B$2:$B$505=Лист1!B52),Лист2!$D$2:$D$505)</f>
        <v>5495</v>
      </c>
      <c r="G52" cm="1">
        <f t="array" ref="G52">_xlfn.XLOOKUP(1,(Лист2!$A$2:$A$505=Лист1!A52)*(Лист2!$B$2:$B$505=Лист1!B52),Лист2!$E$2:$E$505)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cm="1">
        <f t="array" ref="E53">_xlfn.XLOOKUP(1,(Лист2!$A$2:$A$505=Лист1!A53)*(Лист2!$B$2:$B$505=Лист1!B53),Лист2!$C$2:$C$505)</f>
        <v>31</v>
      </c>
      <c r="F53" cm="1">
        <f t="array" ref="F53">_xlfn.XLOOKUP(1,(Лист2!$A$2:$A$505=Лист1!A53)*(Лист2!$B$2:$B$505=Лист1!B53),Лист2!$D$2:$D$505)</f>
        <v>4635</v>
      </c>
      <c r="G53" cm="1">
        <f t="array" ref="G53">_xlfn.XLOOKUP(1,(Лист2!$A$2:$A$505=Лист1!A53)*(Лист2!$B$2:$B$505=Лист1!B53),Лист2!$E$2:$E$505)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cm="1">
        <f t="array" ref="E54">_xlfn.XLOOKUP(1,(Лист2!$A$2:$A$505=Лист1!A54)*(Лист2!$B$2:$B$505=Лист1!B54),Лист2!$C$2:$C$505)</f>
        <v>31</v>
      </c>
      <c r="F54" cm="1">
        <f t="array" ref="F54">_xlfn.XLOOKUP(1,(Лист2!$A$2:$A$505=Лист1!A54)*(Лист2!$B$2:$B$505=Лист1!B54),Лист2!$D$2:$D$505)</f>
        <v>4903</v>
      </c>
      <c r="G54" cm="1">
        <f t="array" ref="G54">_xlfn.XLOOKUP(1,(Лист2!$A$2:$A$505=Лист1!A54)*(Лист2!$B$2:$B$505=Лист1!B54),Лист2!$E$2:$E$505)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cm="1">
        <f t="array" ref="E55">_xlfn.XLOOKUP(1,(Лист2!$A$2:$A$505=Лист1!A55)*(Лист2!$B$2:$B$505=Лист1!B55),Лист2!$C$2:$C$505)</f>
        <v>31</v>
      </c>
      <c r="F55" cm="1">
        <f t="array" ref="F55">_xlfn.XLOOKUP(1,(Лист2!$A$2:$A$505=Лист1!A55)*(Лист2!$B$2:$B$505=Лист1!B55),Лист2!$D$2:$D$505)</f>
        <v>5035</v>
      </c>
      <c r="G55" cm="1">
        <f t="array" ref="G55">_xlfn.XLOOKUP(1,(Лист2!$A$2:$A$505=Лист1!A55)*(Лист2!$B$2:$B$505=Лист1!B55),Лист2!$E$2:$E$505)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cm="1">
        <f t="array" ref="E56">_xlfn.XLOOKUP(1,(Лист2!$A$2:$A$505=Лист1!A56)*(Лист2!$B$2:$B$505=Лист1!B56),Лист2!$C$2:$C$505)</f>
        <v>10</v>
      </c>
      <c r="F56" cm="1">
        <f t="array" ref="F56">_xlfn.XLOOKUP(1,(Лист2!$A$2:$A$505=Лист1!A56)*(Лист2!$B$2:$B$505=Лист1!B56),Лист2!$D$2:$D$505)</f>
        <v>760</v>
      </c>
      <c r="G56" cm="1">
        <f t="array" ref="G56">_xlfn.XLOOKUP(1,(Лист2!$A$2:$A$505=Лист1!A56)*(Лист2!$B$2:$B$505=Лист1!B56),Лист2!$E$2:$E$505)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cm="1">
        <f t="array" ref="E57">_xlfn.XLOOKUP(1,(Лист2!$A$2:$A$505=Лист1!A57)*(Лист2!$B$2:$B$505=Лист1!B57),Лист2!$C$2:$C$505)</f>
        <v>10</v>
      </c>
      <c r="F57" cm="1">
        <f t="array" ref="F57">_xlfn.XLOOKUP(1,(Лист2!$A$2:$A$505=Лист1!A57)*(Лист2!$B$2:$B$505=Лист1!B57),Лист2!$D$2:$D$505)</f>
        <v>649</v>
      </c>
      <c r="G57" cm="1">
        <f t="array" ref="G57">_xlfn.XLOOKUP(1,(Лист2!$A$2:$A$505=Лист1!A57)*(Лист2!$B$2:$B$505=Лист1!B57),Лист2!$E$2:$E$505)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cm="1">
        <f t="array" ref="E58">_xlfn.XLOOKUP(1,(Лист2!$A$2:$A$505=Лист1!A58)*(Лист2!$B$2:$B$505=Лист1!B58),Лист2!$C$2:$C$505)</f>
        <v>10</v>
      </c>
      <c r="F58" cm="1">
        <f t="array" ref="F58">_xlfn.XLOOKUP(1,(Лист2!$A$2:$A$505=Лист1!A58)*(Лист2!$B$2:$B$505=Лист1!B58),Лист2!$D$2:$D$505)</f>
        <v>591</v>
      </c>
      <c r="G58" cm="1">
        <f t="array" ref="G58">_xlfn.XLOOKUP(1,(Лист2!$A$2:$A$505=Лист1!A58)*(Лист2!$B$2:$B$505=Лист1!B58),Лист2!$E$2:$E$505)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cm="1">
        <f t="array" ref="E59">_xlfn.XLOOKUP(1,(Лист2!$A$2:$A$505=Лист1!A59)*(Лист2!$B$2:$B$505=Лист1!B59),Лист2!$C$2:$C$505)</f>
        <v>10</v>
      </c>
      <c r="F59" cm="1">
        <f t="array" ref="F59">_xlfn.XLOOKUP(1,(Лист2!$A$2:$A$505=Лист1!A59)*(Лист2!$B$2:$B$505=Лист1!B59),Лист2!$D$2:$D$505)</f>
        <v>644</v>
      </c>
      <c r="G59" cm="1">
        <f t="array" ref="G59">_xlfn.XLOOKUP(1,(Лист2!$A$2:$A$505=Лист1!A59)*(Лист2!$B$2:$B$505=Лист1!B59),Лист2!$E$2:$E$505)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cm="1">
        <f t="array" ref="E60">_xlfn.XLOOKUP(1,(Лист2!$A$2:$A$505=Лист1!A60)*(Лист2!$B$2:$B$505=Лист1!B60),Лист2!$C$2:$C$505)</f>
        <v>10</v>
      </c>
      <c r="F60" cm="1">
        <f t="array" ref="F60">_xlfn.XLOOKUP(1,(Лист2!$A$2:$A$505=Лист1!A60)*(Лист2!$B$2:$B$505=Лист1!B60),Лист2!$D$2:$D$505)</f>
        <v>462</v>
      </c>
      <c r="G60" cm="1">
        <f t="array" ref="G60">_xlfn.XLOOKUP(1,(Лист2!$A$2:$A$505=Лист1!A60)*(Лист2!$B$2:$B$505=Лист1!B60),Лист2!$E$2:$E$505)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cm="1">
        <f t="array" ref="E61">_xlfn.XLOOKUP(1,(Лист2!$A$2:$A$505=Лист1!A61)*(Лист2!$B$2:$B$505=Лист1!B61),Лист2!$C$2:$C$505)</f>
        <v>10</v>
      </c>
      <c r="F61" cm="1">
        <f t="array" ref="F61">_xlfn.XLOOKUP(1,(Лист2!$A$2:$A$505=Лист1!A61)*(Лист2!$B$2:$B$505=Лист1!B61),Лист2!$D$2:$D$505)</f>
        <v>502</v>
      </c>
      <c r="G61" cm="1">
        <f t="array" ref="G61">_xlfn.XLOOKUP(1,(Лист2!$A$2:$A$505=Лист1!A61)*(Лист2!$B$2:$B$505=Лист1!B61),Лист2!$E$2:$E$505)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cm="1">
        <f t="array" ref="E62">_xlfn.XLOOKUP(1,(Лист2!$A$2:$A$505=Лист1!A62)*(Лист2!$B$2:$B$505=Лист1!B62),Лист2!$C$2:$C$505)</f>
        <v>10</v>
      </c>
      <c r="F62" cm="1">
        <f t="array" ref="F62">_xlfn.XLOOKUP(1,(Лист2!$A$2:$A$505=Лист1!A62)*(Лист2!$B$2:$B$505=Лист1!B62),Лист2!$D$2:$D$505)</f>
        <v>416</v>
      </c>
      <c r="G62" cm="1">
        <f t="array" ref="G62">_xlfn.XLOOKUP(1,(Лист2!$A$2:$A$505=Лист1!A62)*(Лист2!$B$2:$B$505=Лист1!B62),Лист2!$E$2:$E$505)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cm="1">
        <f t="array" ref="E63">_xlfn.XLOOKUP(1,(Лист2!$A$2:$A$505=Лист1!A63)*(Лист2!$B$2:$B$505=Лист1!B63),Лист2!$C$2:$C$505)</f>
        <v>10</v>
      </c>
      <c r="F63" cm="1">
        <f t="array" ref="F63">_xlfn.XLOOKUP(1,(Лист2!$A$2:$A$505=Лист1!A63)*(Лист2!$B$2:$B$505=Лист1!B63),Лист2!$D$2:$D$505)</f>
        <v>692</v>
      </c>
      <c r="G63" cm="1">
        <f t="array" ref="G63">_xlfn.XLOOKUP(1,(Лист2!$A$2:$A$505=Лист1!A63)*(Лист2!$B$2:$B$505=Лист1!B63),Лист2!$E$2:$E$505)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cm="1">
        <f t="array" ref="E64">_xlfn.XLOOKUP(1,(Лист2!$A$2:$A$505=Лист1!A64)*(Лист2!$B$2:$B$505=Лист1!B64),Лист2!$C$2:$C$505)</f>
        <v>10</v>
      </c>
      <c r="F64" cm="1">
        <f t="array" ref="F64">_xlfn.XLOOKUP(1,(Лист2!$A$2:$A$505=Лист1!A64)*(Лист2!$B$2:$B$505=Лист1!B64),Лист2!$D$2:$D$505)</f>
        <v>554</v>
      </c>
      <c r="G64" cm="1">
        <f t="array" ref="G64">_xlfn.XLOOKUP(1,(Лист2!$A$2:$A$505=Лист1!A64)*(Лист2!$B$2:$B$505=Лист1!B64),Лист2!$E$2:$E$505)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cm="1">
        <f t="array" ref="E65">_xlfn.XLOOKUP(1,(Лист2!$A$2:$A$505=Лист1!A65)*(Лист2!$B$2:$B$505=Лист1!B65),Лист2!$C$2:$C$505)</f>
        <v>10</v>
      </c>
      <c r="F65" cm="1">
        <f t="array" ref="F65">_xlfn.XLOOKUP(1,(Лист2!$A$2:$A$505=Лист1!A65)*(Лист2!$B$2:$B$505=Лист1!B65),Лист2!$D$2:$D$505)</f>
        <v>526</v>
      </c>
      <c r="G65" cm="1">
        <f t="array" ref="G65">_xlfn.XLOOKUP(1,(Лист2!$A$2:$A$505=Лист1!A65)*(Лист2!$B$2:$B$505=Лист1!B65),Лист2!$E$2:$E$505)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cm="1">
        <f t="array" ref="E66">_xlfn.XLOOKUP(1,(Лист2!$A$2:$A$505=Лист1!A66)*(Лист2!$B$2:$B$505=Лист1!B66),Лист2!$C$2:$C$505)</f>
        <v>10</v>
      </c>
      <c r="F66" cm="1">
        <f t="array" ref="F66">_xlfn.XLOOKUP(1,(Лист2!$A$2:$A$505=Лист1!A66)*(Лист2!$B$2:$B$505=Лист1!B66),Лист2!$D$2:$D$505)</f>
        <v>677</v>
      </c>
      <c r="G66" cm="1">
        <f t="array" ref="G66">_xlfn.XLOOKUP(1,(Лист2!$A$2:$A$505=Лист1!A66)*(Лист2!$B$2:$B$505=Лист1!B66),Лист2!$E$2:$E$505)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cm="1">
        <f t="array" ref="E67">_xlfn.XLOOKUP(1,(Лист2!$A$2:$A$505=Лист1!A67)*(Лист2!$B$2:$B$505=Лист1!B67),Лист2!$C$2:$C$505)</f>
        <v>10</v>
      </c>
      <c r="F67" cm="1">
        <f t="array" ref="F67">_xlfn.XLOOKUP(1,(Лист2!$A$2:$A$505=Лист1!A67)*(Лист2!$B$2:$B$505=Лист1!B67),Лист2!$D$2:$D$505)</f>
        <v>745</v>
      </c>
      <c r="G67" cm="1">
        <f t="array" ref="G67">_xlfn.XLOOKUP(1,(Лист2!$A$2:$A$505=Лист1!A67)*(Лист2!$B$2:$B$505=Лист1!B67),Лист2!$E$2:$E$505)</f>
        <v>654</v>
      </c>
      <c r="H67">
        <f t="shared" ref="H67:H130" si="2">D67/E67</f>
        <v>103724.7</v>
      </c>
      <c r="I67">
        <f t="shared" ref="I67:I130" si="3">WEEKNUM(A67, 2)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cm="1">
        <f t="array" ref="E68">_xlfn.XLOOKUP(1,(Лист2!$A$2:$A$505=Лист1!A68)*(Лист2!$B$2:$B$505=Лист1!B68),Лист2!$C$2:$C$505)</f>
        <v>10</v>
      </c>
      <c r="F68" cm="1">
        <f t="array" ref="F68">_xlfn.XLOOKUP(1,(Лист2!$A$2:$A$505=Лист1!A68)*(Лист2!$B$2:$B$505=Лист1!B68),Лист2!$D$2:$D$505)</f>
        <v>511</v>
      </c>
      <c r="G68" cm="1">
        <f t="array" ref="G68">_xlfn.XLOOKUP(1,(Лист2!$A$2:$A$505=Лист1!A68)*(Лист2!$B$2:$B$505=Лист1!B68),Лист2!$E$2:$E$505)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cm="1">
        <f t="array" ref="E69">_xlfn.XLOOKUP(1,(Лист2!$A$2:$A$505=Лист1!A69)*(Лист2!$B$2:$B$505=Лист1!B69),Лист2!$C$2:$C$505)</f>
        <v>10</v>
      </c>
      <c r="F69" cm="1">
        <f t="array" ref="F69">_xlfn.XLOOKUP(1,(Лист2!$A$2:$A$505=Лист1!A69)*(Лист2!$B$2:$B$505=Лист1!B69),Лист2!$D$2:$D$505)</f>
        <v>580</v>
      </c>
      <c r="G69" cm="1">
        <f t="array" ref="G69">_xlfn.XLOOKUP(1,(Лист2!$A$2:$A$505=Лист1!A69)*(Лист2!$B$2:$B$505=Лист1!B69),Лист2!$E$2:$E$505)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cm="1">
        <f t="array" ref="E70">_xlfn.XLOOKUP(1,(Лист2!$A$2:$A$505=Лист1!A70)*(Лист2!$B$2:$B$505=Лист1!B70),Лист2!$C$2:$C$505)</f>
        <v>10</v>
      </c>
      <c r="F70" cm="1">
        <f t="array" ref="F70">_xlfn.XLOOKUP(1,(Лист2!$A$2:$A$505=Лист1!A70)*(Лист2!$B$2:$B$505=Лист1!B70),Лист2!$D$2:$D$505)</f>
        <v>612</v>
      </c>
      <c r="G70" cm="1">
        <f t="array" ref="G70">_xlfn.XLOOKUP(1,(Лист2!$A$2:$A$505=Лист1!A70)*(Лист2!$B$2:$B$505=Лист1!B70),Лист2!$E$2:$E$505)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cm="1">
        <f t="array" ref="E71">_xlfn.XLOOKUP(1,(Лист2!$A$2:$A$505=Лист1!A71)*(Лист2!$B$2:$B$505=Лист1!B71),Лист2!$C$2:$C$505)</f>
        <v>31</v>
      </c>
      <c r="F71" cm="1">
        <f t="array" ref="F71">_xlfn.XLOOKUP(1,(Лист2!$A$2:$A$505=Лист1!A71)*(Лист2!$B$2:$B$505=Лист1!B71),Лист2!$D$2:$D$505)</f>
        <v>5760</v>
      </c>
      <c r="G71" cm="1">
        <f t="array" ref="G71">_xlfn.XLOOKUP(1,(Лист2!$A$2:$A$505=Лист1!A71)*(Лист2!$B$2:$B$505=Лист1!B71),Лист2!$E$2:$E$505)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cm="1">
        <f t="array" ref="E72">_xlfn.XLOOKUP(1,(Лист2!$A$2:$A$505=Лист1!A72)*(Лист2!$B$2:$B$505=Лист1!B72),Лист2!$C$2:$C$505)</f>
        <v>10</v>
      </c>
      <c r="F72" cm="1">
        <f t="array" ref="F72">_xlfn.XLOOKUP(1,(Лист2!$A$2:$A$505=Лист1!A72)*(Лист2!$B$2:$B$505=Лист1!B72),Лист2!$D$2:$D$505)</f>
        <v>402</v>
      </c>
      <c r="G72" cm="1">
        <f t="array" ref="G72">_xlfn.XLOOKUP(1,(Лист2!$A$2:$A$505=Лист1!A72)*(Лист2!$B$2:$B$505=Лист1!B72),Лист2!$E$2:$E$505)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cm="1">
        <f t="array" ref="E73">_xlfn.XLOOKUP(1,(Лист2!$A$2:$A$505=Лист1!A73)*(Лист2!$B$2:$B$505=Лист1!B73),Лист2!$C$2:$C$505)</f>
        <v>31</v>
      </c>
      <c r="F73" cm="1">
        <f t="array" ref="F73">_xlfn.XLOOKUP(1,(Лист2!$A$2:$A$505=Лист1!A73)*(Лист2!$B$2:$B$505=Лист1!B73),Лист2!$D$2:$D$505)</f>
        <v>6735</v>
      </c>
      <c r="G73" cm="1">
        <f t="array" ref="G73">_xlfn.XLOOKUP(1,(Лист2!$A$2:$A$505=Лист1!A73)*(Лист2!$B$2:$B$505=Лист1!B73),Лист2!$E$2:$E$505)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cm="1">
        <f t="array" ref="E74">_xlfn.XLOOKUP(1,(Лист2!$A$2:$A$505=Лист1!A74)*(Лист2!$B$2:$B$505=Лист1!B74),Лист2!$C$2:$C$505)</f>
        <v>10</v>
      </c>
      <c r="F74" cm="1">
        <f t="array" ref="F74">_xlfn.XLOOKUP(1,(Лист2!$A$2:$A$505=Лист1!A74)*(Лист2!$B$2:$B$505=Лист1!B74),Лист2!$D$2:$D$505)</f>
        <v>465</v>
      </c>
      <c r="G74" cm="1">
        <f t="array" ref="G74">_xlfn.XLOOKUP(1,(Лист2!$A$2:$A$505=Лист1!A74)*(Лист2!$B$2:$B$505=Лист1!B74),Лист2!$E$2:$E$505)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cm="1">
        <f t="array" ref="E75">_xlfn.XLOOKUP(1,(Лист2!$A$2:$A$505=Лист1!A75)*(Лист2!$B$2:$B$505=Лист1!B75),Лист2!$C$2:$C$505)</f>
        <v>10</v>
      </c>
      <c r="F75" cm="1">
        <f t="array" ref="F75">_xlfn.XLOOKUP(1,(Лист2!$A$2:$A$505=Лист1!A75)*(Лист2!$B$2:$B$505=Лист1!B75),Лист2!$D$2:$D$505)</f>
        <v>828</v>
      </c>
      <c r="G75" cm="1">
        <f t="array" ref="G75">_xlfn.XLOOKUP(1,(Лист2!$A$2:$A$505=Лист1!A75)*(Лист2!$B$2:$B$505=Лист1!B75),Лист2!$E$2:$E$505)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cm="1">
        <f t="array" ref="E76">_xlfn.XLOOKUP(1,(Лист2!$A$2:$A$505=Лист1!A76)*(Лист2!$B$2:$B$505=Лист1!B76),Лист2!$C$2:$C$505)</f>
        <v>31</v>
      </c>
      <c r="F76" cm="1">
        <f t="array" ref="F76">_xlfn.XLOOKUP(1,(Лист2!$A$2:$A$505=Лист1!A76)*(Лист2!$B$2:$B$505=Лист1!B76),Лист2!$D$2:$D$505)</f>
        <v>5355</v>
      </c>
      <c r="G76" cm="1">
        <f t="array" ref="G76">_xlfn.XLOOKUP(1,(Лист2!$A$2:$A$505=Лист1!A76)*(Лист2!$B$2:$B$505=Лист1!B76),Лист2!$E$2:$E$505)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cm="1">
        <f t="array" ref="E77">_xlfn.XLOOKUP(1,(Лист2!$A$2:$A$505=Лист1!A77)*(Лист2!$B$2:$B$505=Лист1!B77),Лист2!$C$2:$C$505)</f>
        <v>10</v>
      </c>
      <c r="F77" cm="1">
        <f t="array" ref="F77">_xlfn.XLOOKUP(1,(Лист2!$A$2:$A$505=Лист1!A77)*(Лист2!$B$2:$B$505=Лист1!B77),Лист2!$D$2:$D$505)</f>
        <v>739</v>
      </c>
      <c r="G77" cm="1">
        <f t="array" ref="G77">_xlfn.XLOOKUP(1,(Лист2!$A$2:$A$505=Лист1!A77)*(Лист2!$B$2:$B$505=Лист1!B77),Лист2!$E$2:$E$505)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cm="1">
        <f t="array" ref="E78">_xlfn.XLOOKUP(1,(Лист2!$A$2:$A$505=Лист1!A78)*(Лист2!$B$2:$B$505=Лист1!B78),Лист2!$C$2:$C$505)</f>
        <v>10</v>
      </c>
      <c r="F78" cm="1">
        <f t="array" ref="F78">_xlfn.XLOOKUP(1,(Лист2!$A$2:$A$505=Лист1!A78)*(Лист2!$B$2:$B$505=Лист1!B78),Лист2!$D$2:$D$505)</f>
        <v>448</v>
      </c>
      <c r="G78" cm="1">
        <f t="array" ref="G78">_xlfn.XLOOKUP(1,(Лист2!$A$2:$A$505=Лист1!A78)*(Лист2!$B$2:$B$505=Лист1!B78),Лист2!$E$2:$E$505)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cm="1">
        <f t="array" ref="E79">_xlfn.XLOOKUP(1,(Лист2!$A$2:$A$505=Лист1!A79)*(Лист2!$B$2:$B$505=Лист1!B79),Лист2!$C$2:$C$505)</f>
        <v>10</v>
      </c>
      <c r="F79" cm="1">
        <f t="array" ref="F79">_xlfn.XLOOKUP(1,(Лист2!$A$2:$A$505=Лист1!A79)*(Лист2!$B$2:$B$505=Лист1!B79),Лист2!$D$2:$D$505)</f>
        <v>642</v>
      </c>
      <c r="G79" cm="1">
        <f t="array" ref="G79">_xlfn.XLOOKUP(1,(Лист2!$A$2:$A$505=Лист1!A79)*(Лист2!$B$2:$B$505=Лист1!B79),Лист2!$E$2:$E$505)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cm="1">
        <f t="array" ref="E80">_xlfn.XLOOKUP(1,(Лист2!$A$2:$A$505=Лист1!A80)*(Лист2!$B$2:$B$505=Лист1!B80),Лист2!$C$2:$C$505)</f>
        <v>10</v>
      </c>
      <c r="F80" cm="1">
        <f t="array" ref="F80">_xlfn.XLOOKUP(1,(Лист2!$A$2:$A$505=Лист1!A80)*(Лист2!$B$2:$B$505=Лист1!B80),Лист2!$D$2:$D$505)</f>
        <v>638</v>
      </c>
      <c r="G80" cm="1">
        <f t="array" ref="G80">_xlfn.XLOOKUP(1,(Лист2!$A$2:$A$505=Лист1!A80)*(Лист2!$B$2:$B$505=Лист1!B80),Лист2!$E$2:$E$505)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cm="1">
        <f t="array" ref="E81">_xlfn.XLOOKUP(1,(Лист2!$A$2:$A$505=Лист1!A81)*(Лист2!$B$2:$B$505=Лист1!B81),Лист2!$C$2:$C$505)</f>
        <v>10</v>
      </c>
      <c r="F81" cm="1">
        <f t="array" ref="F81">_xlfn.XLOOKUP(1,(Лист2!$A$2:$A$505=Лист1!A81)*(Лист2!$B$2:$B$505=Лист1!B81),Лист2!$D$2:$D$505)</f>
        <v>563</v>
      </c>
      <c r="G81" cm="1">
        <f t="array" ref="G81">_xlfn.XLOOKUP(1,(Лист2!$A$2:$A$505=Лист1!A81)*(Лист2!$B$2:$B$505=Лист1!B81),Лист2!$E$2:$E$505)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cm="1">
        <f t="array" ref="E82">_xlfn.XLOOKUP(1,(Лист2!$A$2:$A$505=Лист1!A82)*(Лист2!$B$2:$B$505=Лист1!B82),Лист2!$C$2:$C$505)</f>
        <v>10</v>
      </c>
      <c r="F82" cm="1">
        <f t="array" ref="F82">_xlfn.XLOOKUP(1,(Лист2!$A$2:$A$505=Лист1!A82)*(Лист2!$B$2:$B$505=Лист1!B82),Лист2!$D$2:$D$505)</f>
        <v>639</v>
      </c>
      <c r="G82" cm="1">
        <f t="array" ref="G82">_xlfn.XLOOKUP(1,(Лист2!$A$2:$A$505=Лист1!A82)*(Лист2!$B$2:$B$505=Лист1!B82),Лист2!$E$2:$E$505)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cm="1">
        <f t="array" ref="E83">_xlfn.XLOOKUP(1,(Лист2!$A$2:$A$505=Лист1!A83)*(Лист2!$B$2:$B$505=Лист1!B83),Лист2!$C$2:$C$505)</f>
        <v>10</v>
      </c>
      <c r="F83" cm="1">
        <f t="array" ref="F83">_xlfn.XLOOKUP(1,(Лист2!$A$2:$A$505=Лист1!A83)*(Лист2!$B$2:$B$505=Лист1!B83),Лист2!$D$2:$D$505)</f>
        <v>749</v>
      </c>
      <c r="G83" cm="1">
        <f t="array" ref="G83">_xlfn.XLOOKUP(1,(Лист2!$A$2:$A$505=Лист1!A83)*(Лист2!$B$2:$B$505=Лист1!B83),Лист2!$E$2:$E$505)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cm="1">
        <f t="array" ref="E84">_xlfn.XLOOKUP(1,(Лист2!$A$2:$A$505=Лист1!A84)*(Лист2!$B$2:$B$505=Лист1!B84),Лист2!$C$2:$C$505)</f>
        <v>10</v>
      </c>
      <c r="F84" cm="1">
        <f t="array" ref="F84">_xlfn.XLOOKUP(1,(Лист2!$A$2:$A$505=Лист1!A84)*(Лист2!$B$2:$B$505=Лист1!B84),Лист2!$D$2:$D$505)</f>
        <v>865</v>
      </c>
      <c r="G84" cm="1">
        <f t="array" ref="G84">_xlfn.XLOOKUP(1,(Лист2!$A$2:$A$505=Лист1!A84)*(Лист2!$B$2:$B$505=Лист1!B84),Лист2!$E$2:$E$505)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cm="1">
        <f t="array" ref="E85">_xlfn.XLOOKUP(1,(Лист2!$A$2:$A$505=Лист1!A85)*(Лист2!$B$2:$B$505=Лист1!B85),Лист2!$C$2:$C$505)</f>
        <v>10</v>
      </c>
      <c r="F85" cm="1">
        <f t="array" ref="F85">_xlfn.XLOOKUP(1,(Лист2!$A$2:$A$505=Лист1!A85)*(Лист2!$B$2:$B$505=Лист1!B85),Лист2!$D$2:$D$505)</f>
        <v>791</v>
      </c>
      <c r="G85" cm="1">
        <f t="array" ref="G85">_xlfn.XLOOKUP(1,(Лист2!$A$2:$A$505=Лист1!A85)*(Лист2!$B$2:$B$505=Лист1!B85),Лист2!$E$2:$E$505)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cm="1">
        <f t="array" ref="E86">_xlfn.XLOOKUP(1,(Лист2!$A$2:$A$505=Лист1!A86)*(Лист2!$B$2:$B$505=Лист1!B86),Лист2!$C$2:$C$505)</f>
        <v>19</v>
      </c>
      <c r="F86" cm="1">
        <f t="array" ref="F86">_xlfn.XLOOKUP(1,(Лист2!$A$2:$A$505=Лист1!A86)*(Лист2!$B$2:$B$505=Лист1!B86),Лист2!$D$2:$D$505)</f>
        <v>2080</v>
      </c>
      <c r="G86" cm="1">
        <f t="array" ref="G86">_xlfn.XLOOKUP(1,(Лист2!$A$2:$A$505=Лист1!A86)*(Лист2!$B$2:$B$505=Лист1!B86),Лист2!$E$2:$E$505)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cm="1">
        <f t="array" ref="E87">_xlfn.XLOOKUP(1,(Лист2!$A$2:$A$505=Лист1!A87)*(Лист2!$B$2:$B$505=Лист1!B87),Лист2!$C$2:$C$505)</f>
        <v>19</v>
      </c>
      <c r="F87" cm="1">
        <f t="array" ref="F87">_xlfn.XLOOKUP(1,(Лист2!$A$2:$A$505=Лист1!A87)*(Лист2!$B$2:$B$505=Лист1!B87),Лист2!$D$2:$D$505)</f>
        <v>1999</v>
      </c>
      <c r="G87" cm="1">
        <f t="array" ref="G87">_xlfn.XLOOKUP(1,(Лист2!$A$2:$A$505=Лист1!A87)*(Лист2!$B$2:$B$505=Лист1!B87),Лист2!$E$2:$E$505)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cm="1">
        <f t="array" ref="E88">_xlfn.XLOOKUP(1,(Лист2!$A$2:$A$505=Лист1!A88)*(Лист2!$B$2:$B$505=Лист1!B88),Лист2!$C$2:$C$505)</f>
        <v>19</v>
      </c>
      <c r="F88" cm="1">
        <f t="array" ref="F88">_xlfn.XLOOKUP(1,(Лист2!$A$2:$A$505=Лист1!A88)*(Лист2!$B$2:$B$505=Лист1!B88),Лист2!$D$2:$D$505)</f>
        <v>1871</v>
      </c>
      <c r="G88" cm="1">
        <f t="array" ref="G88">_xlfn.XLOOKUP(1,(Лист2!$A$2:$A$505=Лист1!A88)*(Лист2!$B$2:$B$505=Лист1!B88),Лист2!$E$2:$E$505)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cm="1">
        <f t="array" ref="E89">_xlfn.XLOOKUP(1,(Лист2!$A$2:$A$505=Лист1!A89)*(Лист2!$B$2:$B$505=Лист1!B89),Лист2!$C$2:$C$505)</f>
        <v>19</v>
      </c>
      <c r="F89" cm="1">
        <f t="array" ref="F89">_xlfn.XLOOKUP(1,(Лист2!$A$2:$A$505=Лист1!A89)*(Лист2!$B$2:$B$505=Лист1!B89),Лист2!$D$2:$D$505)</f>
        <v>1851</v>
      </c>
      <c r="G89" cm="1">
        <f t="array" ref="G89">_xlfn.XLOOKUP(1,(Лист2!$A$2:$A$505=Лист1!A89)*(Лист2!$B$2:$B$505=Лист1!B89),Лист2!$E$2:$E$505)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cm="1">
        <f t="array" ref="E90">_xlfn.XLOOKUP(1,(Лист2!$A$2:$A$505=Лист1!A90)*(Лист2!$B$2:$B$505=Лист1!B90),Лист2!$C$2:$C$505)</f>
        <v>19</v>
      </c>
      <c r="F90" cm="1">
        <f t="array" ref="F90">_xlfn.XLOOKUP(1,(Лист2!$A$2:$A$505=Лист1!A90)*(Лист2!$B$2:$B$505=Лист1!B90),Лист2!$D$2:$D$505)</f>
        <v>1582</v>
      </c>
      <c r="G90" cm="1">
        <f t="array" ref="G90">_xlfn.XLOOKUP(1,(Лист2!$A$2:$A$505=Лист1!A90)*(Лист2!$B$2:$B$505=Лист1!B90),Лист2!$E$2:$E$505)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cm="1">
        <f t="array" ref="E91">_xlfn.XLOOKUP(1,(Лист2!$A$2:$A$505=Лист1!A91)*(Лист2!$B$2:$B$505=Лист1!B91),Лист2!$C$2:$C$505)</f>
        <v>18</v>
      </c>
      <c r="F91" cm="1">
        <f t="array" ref="F91">_xlfn.XLOOKUP(1,(Лист2!$A$2:$A$505=Лист1!A91)*(Лист2!$B$2:$B$505=Лист1!B91),Лист2!$D$2:$D$505)</f>
        <v>1534</v>
      </c>
      <c r="G91" cm="1">
        <f t="array" ref="G91">_xlfn.XLOOKUP(1,(Лист2!$A$2:$A$505=Лист1!A91)*(Лист2!$B$2:$B$505=Лист1!B91),Лист2!$E$2:$E$505)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cm="1">
        <f t="array" ref="E92">_xlfn.XLOOKUP(1,(Лист2!$A$2:$A$505=Лист1!A92)*(Лист2!$B$2:$B$505=Лист1!B92),Лист2!$C$2:$C$505)</f>
        <v>19</v>
      </c>
      <c r="F92" cm="1">
        <f t="array" ref="F92">_xlfn.XLOOKUP(1,(Лист2!$A$2:$A$505=Лист1!A92)*(Лист2!$B$2:$B$505=Лист1!B92),Лист2!$D$2:$D$505)</f>
        <v>1217</v>
      </c>
      <c r="G92" cm="1">
        <f t="array" ref="G92">_xlfn.XLOOKUP(1,(Лист2!$A$2:$A$505=Лист1!A92)*(Лист2!$B$2:$B$505=Лист1!B92),Лист2!$E$2:$E$505)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cm="1">
        <f t="array" ref="E93">_xlfn.XLOOKUP(1,(Лист2!$A$2:$A$505=Лист1!A93)*(Лист2!$B$2:$B$505=Лист1!B93),Лист2!$C$2:$C$505)</f>
        <v>20</v>
      </c>
      <c r="F93" cm="1">
        <f t="array" ref="F93">_xlfn.XLOOKUP(1,(Лист2!$A$2:$A$505=Лист1!A93)*(Лист2!$B$2:$B$505=Лист1!B93),Лист2!$D$2:$D$505)</f>
        <v>2036</v>
      </c>
      <c r="G93" cm="1">
        <f t="array" ref="G93">_xlfn.XLOOKUP(1,(Лист2!$A$2:$A$505=Лист1!A93)*(Лист2!$B$2:$B$505=Лист1!B93),Лист2!$E$2:$E$505)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cm="1">
        <f t="array" ref="E94">_xlfn.XLOOKUP(1,(Лист2!$A$2:$A$505=Лист1!A94)*(Лист2!$B$2:$B$505=Лист1!B94),Лист2!$C$2:$C$505)</f>
        <v>19</v>
      </c>
      <c r="F94" cm="1">
        <f t="array" ref="F94">_xlfn.XLOOKUP(1,(Лист2!$A$2:$A$505=Лист1!A94)*(Лист2!$B$2:$B$505=Лист1!B94),Лист2!$D$2:$D$505)</f>
        <v>1497</v>
      </c>
      <c r="G94" cm="1">
        <f t="array" ref="G94">_xlfn.XLOOKUP(1,(Лист2!$A$2:$A$505=Лист1!A94)*(Лист2!$B$2:$B$505=Лист1!B94),Лист2!$E$2:$E$505)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cm="1">
        <f t="array" ref="E95">_xlfn.XLOOKUP(1,(Лист2!$A$2:$A$505=Лист1!A95)*(Лист2!$B$2:$B$505=Лист1!B95),Лист2!$C$2:$C$505)</f>
        <v>19</v>
      </c>
      <c r="F95" cm="1">
        <f t="array" ref="F95">_xlfn.XLOOKUP(1,(Лист2!$A$2:$A$505=Лист1!A95)*(Лист2!$B$2:$B$505=Лист1!B95),Лист2!$D$2:$D$505)</f>
        <v>1649</v>
      </c>
      <c r="G95" cm="1">
        <f t="array" ref="G95">_xlfn.XLOOKUP(1,(Лист2!$A$2:$A$505=Лист1!A95)*(Лист2!$B$2:$B$505=Лист1!B95),Лист2!$E$2:$E$505)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cm="1">
        <f t="array" ref="E96">_xlfn.XLOOKUP(1,(Лист2!$A$2:$A$505=Лист1!A96)*(Лист2!$B$2:$B$505=Лист1!B96),Лист2!$C$2:$C$505)</f>
        <v>19</v>
      </c>
      <c r="F96" cm="1">
        <f t="array" ref="F96">_xlfn.XLOOKUP(1,(Лист2!$A$2:$A$505=Лист1!A96)*(Лист2!$B$2:$B$505=Лист1!B96),Лист2!$D$2:$D$505)</f>
        <v>1949</v>
      </c>
      <c r="G96" cm="1">
        <f t="array" ref="G96">_xlfn.XLOOKUP(1,(Лист2!$A$2:$A$505=Лист1!A96)*(Лист2!$B$2:$B$505=Лист1!B96),Лист2!$E$2:$E$505)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cm="1">
        <f t="array" ref="E97">_xlfn.XLOOKUP(1,(Лист2!$A$2:$A$505=Лист1!A97)*(Лист2!$B$2:$B$505=Лист1!B97),Лист2!$C$2:$C$505)</f>
        <v>19</v>
      </c>
      <c r="F97" cm="1">
        <f t="array" ref="F97">_xlfn.XLOOKUP(1,(Лист2!$A$2:$A$505=Лист1!A97)*(Лист2!$B$2:$B$505=Лист1!B97),Лист2!$D$2:$D$505)</f>
        <v>1889</v>
      </c>
      <c r="G97" cm="1">
        <f t="array" ref="G97">_xlfn.XLOOKUP(1,(Лист2!$A$2:$A$505=Лист1!A97)*(Лист2!$B$2:$B$505=Лист1!B97),Лист2!$E$2:$E$505)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cm="1">
        <f t="array" ref="E98">_xlfn.XLOOKUP(1,(Лист2!$A$2:$A$505=Лист1!A98)*(Лист2!$B$2:$B$505=Лист1!B98),Лист2!$C$2:$C$505)</f>
        <v>19</v>
      </c>
      <c r="F98" cm="1">
        <f t="array" ref="F98">_xlfn.XLOOKUP(1,(Лист2!$A$2:$A$505=Лист1!A98)*(Лист2!$B$2:$B$505=Лист1!B98),Лист2!$D$2:$D$505)</f>
        <v>1417</v>
      </c>
      <c r="G98" cm="1">
        <f t="array" ref="G98">_xlfn.XLOOKUP(1,(Лист2!$A$2:$A$505=Лист1!A98)*(Лист2!$B$2:$B$505=Лист1!B98),Лист2!$E$2:$E$505)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cm="1">
        <f t="array" ref="E99">_xlfn.XLOOKUP(1,(Лист2!$A$2:$A$505=Лист1!A99)*(Лист2!$B$2:$B$505=Лист1!B99),Лист2!$C$2:$C$505)</f>
        <v>17</v>
      </c>
      <c r="F99" cm="1">
        <f t="array" ref="F99">_xlfn.XLOOKUP(1,(Лист2!$A$2:$A$505=Лист1!A99)*(Лист2!$B$2:$B$505=Лист1!B99),Лист2!$D$2:$D$505)</f>
        <v>1439</v>
      </c>
      <c r="G99" cm="1">
        <f t="array" ref="G99">_xlfn.XLOOKUP(1,(Лист2!$A$2:$A$505=Лист1!A99)*(Лист2!$B$2:$B$505=Лист1!B99),Лист2!$E$2:$E$505)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cm="1">
        <f t="array" ref="E100">_xlfn.XLOOKUP(1,(Лист2!$A$2:$A$505=Лист1!A100)*(Лист2!$B$2:$B$505=Лист1!B100),Лист2!$C$2:$C$505)</f>
        <v>19</v>
      </c>
      <c r="F100" cm="1">
        <f t="array" ref="F100">_xlfn.XLOOKUP(1,(Лист2!$A$2:$A$505=Лист1!A100)*(Лист2!$B$2:$B$505=Лист1!B100),Лист2!$D$2:$D$505)</f>
        <v>1625</v>
      </c>
      <c r="G100" cm="1">
        <f t="array" ref="G100">_xlfn.XLOOKUP(1,(Лист2!$A$2:$A$505=Лист1!A100)*(Лист2!$B$2:$B$505=Лист1!B100),Лист2!$E$2:$E$505)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cm="1">
        <f t="array" ref="E101">_xlfn.XLOOKUP(1,(Лист2!$A$2:$A$505=Лист1!A101)*(Лист2!$B$2:$B$505=Лист1!B101),Лист2!$C$2:$C$505)</f>
        <v>19</v>
      </c>
      <c r="F101" cm="1">
        <f t="array" ref="F101">_xlfn.XLOOKUP(1,(Лист2!$A$2:$A$505=Лист1!A101)*(Лист2!$B$2:$B$505=Лист1!B101),Лист2!$D$2:$D$505)</f>
        <v>1402</v>
      </c>
      <c r="G101" cm="1">
        <f t="array" ref="G101">_xlfn.XLOOKUP(1,(Лист2!$A$2:$A$505=Лист1!A101)*(Лист2!$B$2:$B$505=Лист1!B101),Лист2!$E$2:$E$505)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cm="1">
        <f t="array" ref="E102">_xlfn.XLOOKUP(1,(Лист2!$A$2:$A$505=Лист1!A102)*(Лист2!$B$2:$B$505=Лист1!B102),Лист2!$C$2:$C$505)</f>
        <v>19</v>
      </c>
      <c r="F102" cm="1">
        <f t="array" ref="F102">_xlfn.XLOOKUP(1,(Лист2!$A$2:$A$505=Лист1!A102)*(Лист2!$B$2:$B$505=Лист1!B102),Лист2!$D$2:$D$505)</f>
        <v>1499</v>
      </c>
      <c r="G102" cm="1">
        <f t="array" ref="G102">_xlfn.XLOOKUP(1,(Лист2!$A$2:$A$505=Лист1!A102)*(Лист2!$B$2:$B$505=Лист1!B102),Лист2!$E$2:$E$505)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cm="1">
        <f t="array" ref="E103">_xlfn.XLOOKUP(1,(Лист2!$A$2:$A$505=Лист1!A103)*(Лист2!$B$2:$B$505=Лист1!B103),Лист2!$C$2:$C$505)</f>
        <v>20</v>
      </c>
      <c r="F103" cm="1">
        <f t="array" ref="F103">_xlfn.XLOOKUP(1,(Лист2!$A$2:$A$505=Лист1!A103)*(Лист2!$B$2:$B$505=Лист1!B103),Лист2!$D$2:$D$505)</f>
        <v>2266</v>
      </c>
      <c r="G103" cm="1">
        <f t="array" ref="G103">_xlfn.XLOOKUP(1,(Лист2!$A$2:$A$505=Лист1!A103)*(Лист2!$B$2:$B$505=Лист1!B103),Лист2!$E$2:$E$505)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cm="1">
        <f t="array" ref="E104">_xlfn.XLOOKUP(1,(Лист2!$A$2:$A$505=Лист1!A104)*(Лист2!$B$2:$B$505=Лист1!B104),Лист2!$C$2:$C$505)</f>
        <v>20</v>
      </c>
      <c r="F104" cm="1">
        <f t="array" ref="F104">_xlfn.XLOOKUP(1,(Лист2!$A$2:$A$505=Лист1!A104)*(Лист2!$B$2:$B$505=Лист1!B104),Лист2!$D$2:$D$505)</f>
        <v>2011</v>
      </c>
      <c r="G104" cm="1">
        <f t="array" ref="G104">_xlfn.XLOOKUP(1,(Лист2!$A$2:$A$505=Лист1!A104)*(Лист2!$B$2:$B$505=Лист1!B104),Лист2!$E$2:$E$505)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cm="1">
        <f t="array" ref="E105">_xlfn.XLOOKUP(1,(Лист2!$A$2:$A$505=Лист1!A105)*(Лист2!$B$2:$B$505=Лист1!B105),Лист2!$C$2:$C$505)</f>
        <v>19</v>
      </c>
      <c r="F105" cm="1">
        <f t="array" ref="F105">_xlfn.XLOOKUP(1,(Лист2!$A$2:$A$505=Лист1!A105)*(Лист2!$B$2:$B$505=Лист1!B105),Лист2!$D$2:$D$505)</f>
        <v>1499</v>
      </c>
      <c r="G105" cm="1">
        <f t="array" ref="G105">_xlfn.XLOOKUP(1,(Лист2!$A$2:$A$505=Лист1!A105)*(Лист2!$B$2:$B$505=Лист1!B105),Лист2!$E$2:$E$505)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cm="1">
        <f t="array" ref="E106">_xlfn.XLOOKUP(1,(Лист2!$A$2:$A$505=Лист1!A106)*(Лист2!$B$2:$B$505=Лист1!B106),Лист2!$C$2:$C$505)</f>
        <v>19</v>
      </c>
      <c r="F106" cm="1">
        <f t="array" ref="F106">_xlfn.XLOOKUP(1,(Лист2!$A$2:$A$505=Лист1!A106)*(Лист2!$B$2:$B$505=Лист1!B106),Лист2!$D$2:$D$505)</f>
        <v>1848</v>
      </c>
      <c r="G106" cm="1">
        <f t="array" ref="G106">_xlfn.XLOOKUP(1,(Лист2!$A$2:$A$505=Лист1!A106)*(Лист2!$B$2:$B$505=Лист1!B106),Лист2!$E$2:$E$505)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cm="1">
        <f t="array" ref="E107">_xlfn.XLOOKUP(1,(Лист2!$A$2:$A$505=Лист1!A107)*(Лист2!$B$2:$B$505=Лист1!B107),Лист2!$C$2:$C$505)</f>
        <v>19</v>
      </c>
      <c r="F107" cm="1">
        <f t="array" ref="F107">_xlfn.XLOOKUP(1,(Лист2!$A$2:$A$505=Лист1!A107)*(Лист2!$B$2:$B$505=Лист1!B107),Лист2!$D$2:$D$505)</f>
        <v>1522</v>
      </c>
      <c r="G107" cm="1">
        <f t="array" ref="G107">_xlfn.XLOOKUP(1,(Лист2!$A$2:$A$505=Лист1!A107)*(Лист2!$B$2:$B$505=Лист1!B107),Лист2!$E$2:$E$505)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cm="1">
        <f t="array" ref="E108">_xlfn.XLOOKUP(1,(Лист2!$A$2:$A$505=Лист1!A108)*(Лист2!$B$2:$B$505=Лист1!B108),Лист2!$C$2:$C$505)</f>
        <v>19</v>
      </c>
      <c r="F108" cm="1">
        <f t="array" ref="F108">_xlfn.XLOOKUP(1,(Лист2!$A$2:$A$505=Лист1!A108)*(Лист2!$B$2:$B$505=Лист1!B108),Лист2!$D$2:$D$505)</f>
        <v>1530</v>
      </c>
      <c r="G108" cm="1">
        <f t="array" ref="G108">_xlfn.XLOOKUP(1,(Лист2!$A$2:$A$505=Лист1!A108)*(Лист2!$B$2:$B$505=Лист1!B108),Лист2!$E$2:$E$505)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cm="1">
        <f t="array" ref="E109">_xlfn.XLOOKUP(1,(Лист2!$A$2:$A$505=Лист1!A109)*(Лист2!$B$2:$B$505=Лист1!B109),Лист2!$C$2:$C$505)</f>
        <v>20</v>
      </c>
      <c r="F109" cm="1">
        <f t="array" ref="F109">_xlfn.XLOOKUP(1,(Лист2!$A$2:$A$505=Лист1!A109)*(Лист2!$B$2:$B$505=Лист1!B109),Лист2!$D$2:$D$505)</f>
        <v>2015</v>
      </c>
      <c r="G109" cm="1">
        <f t="array" ref="G109">_xlfn.XLOOKUP(1,(Лист2!$A$2:$A$505=Лист1!A109)*(Лист2!$B$2:$B$505=Лист1!B109),Лист2!$E$2:$E$505)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cm="1">
        <f t="array" ref="E110">_xlfn.XLOOKUP(1,(Лист2!$A$2:$A$505=Лист1!A110)*(Лист2!$B$2:$B$505=Лист1!B110),Лист2!$C$2:$C$505)</f>
        <v>20</v>
      </c>
      <c r="F110" cm="1">
        <f t="array" ref="F110">_xlfn.XLOOKUP(1,(Лист2!$A$2:$A$505=Лист1!A110)*(Лист2!$B$2:$B$505=Лист1!B110),Лист2!$D$2:$D$505)</f>
        <v>2060</v>
      </c>
      <c r="G110" cm="1">
        <f t="array" ref="G110">_xlfn.XLOOKUP(1,(Лист2!$A$2:$A$505=Лист1!A110)*(Лист2!$B$2:$B$505=Лист1!B110),Лист2!$E$2:$E$505)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cm="1">
        <f t="array" ref="E111">_xlfn.XLOOKUP(1,(Лист2!$A$2:$A$505=Лист1!A111)*(Лист2!$B$2:$B$505=Лист1!B111),Лист2!$C$2:$C$505)</f>
        <v>20</v>
      </c>
      <c r="F111" cm="1">
        <f t="array" ref="F111">_xlfn.XLOOKUP(1,(Лист2!$A$2:$A$505=Лист1!A111)*(Лист2!$B$2:$B$505=Лист1!B111),Лист2!$D$2:$D$505)</f>
        <v>2451</v>
      </c>
      <c r="G111" cm="1">
        <f t="array" ref="G111">_xlfn.XLOOKUP(1,(Лист2!$A$2:$A$505=Лист1!A111)*(Лист2!$B$2:$B$505=Лист1!B111),Лист2!$E$2:$E$505)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cm="1">
        <f t="array" ref="E112">_xlfn.XLOOKUP(1,(Лист2!$A$2:$A$505=Лист1!A112)*(Лист2!$B$2:$B$505=Лист1!B112),Лист2!$C$2:$C$505)</f>
        <v>20</v>
      </c>
      <c r="F112" cm="1">
        <f t="array" ref="F112">_xlfn.XLOOKUP(1,(Лист2!$A$2:$A$505=Лист1!A112)*(Лист2!$B$2:$B$505=Лист1!B112),Лист2!$D$2:$D$505)</f>
        <v>2088</v>
      </c>
      <c r="G112" cm="1">
        <f t="array" ref="G112">_xlfn.XLOOKUP(1,(Лист2!$A$2:$A$505=Лист1!A112)*(Лист2!$B$2:$B$505=Лист1!B112),Лист2!$E$2:$E$505)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cm="1">
        <f t="array" ref="E113">_xlfn.XLOOKUP(1,(Лист2!$A$2:$A$505=Лист1!A113)*(Лист2!$B$2:$B$505=Лист1!B113),Лист2!$C$2:$C$505)</f>
        <v>129</v>
      </c>
      <c r="F113" cm="1">
        <f t="array" ref="F113">_xlfn.XLOOKUP(1,(Лист2!$A$2:$A$505=Лист1!A113)*(Лист2!$B$2:$B$505=Лист1!B113),Лист2!$D$2:$D$505)</f>
        <v>17914</v>
      </c>
      <c r="G113" cm="1">
        <f t="array" ref="G113">_xlfn.XLOOKUP(1,(Лист2!$A$2:$A$505=Лист1!A113)*(Лист2!$B$2:$B$505=Лист1!B113),Лист2!$E$2:$E$505)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cm="1">
        <f t="array" ref="E114">_xlfn.XLOOKUP(1,(Лист2!$A$2:$A$505=Лист1!A114)*(Лист2!$B$2:$B$505=Лист1!B114),Лист2!$C$2:$C$505)</f>
        <v>129</v>
      </c>
      <c r="F114" cm="1">
        <f t="array" ref="F114">_xlfn.XLOOKUP(1,(Лист2!$A$2:$A$505=Лист1!A114)*(Лист2!$B$2:$B$505=Лист1!B114),Лист2!$D$2:$D$505)</f>
        <v>16191</v>
      </c>
      <c r="G114" cm="1">
        <f t="array" ref="G114">_xlfn.XLOOKUP(1,(Лист2!$A$2:$A$505=Лист1!A114)*(Лист2!$B$2:$B$505=Лист1!B114),Лист2!$E$2:$E$505)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cm="1">
        <f t="array" ref="E115">_xlfn.XLOOKUP(1,(Лист2!$A$2:$A$505=Лист1!A115)*(Лист2!$B$2:$B$505=Лист1!B115),Лист2!$C$2:$C$505)</f>
        <v>129</v>
      </c>
      <c r="F115" cm="1">
        <f t="array" ref="F115">_xlfn.XLOOKUP(1,(Лист2!$A$2:$A$505=Лист1!A115)*(Лист2!$B$2:$B$505=Лист1!B115),Лист2!$D$2:$D$505)</f>
        <v>15744</v>
      </c>
      <c r="G115" cm="1">
        <f t="array" ref="G115">_xlfn.XLOOKUP(1,(Лист2!$A$2:$A$505=Лист1!A115)*(Лист2!$B$2:$B$505=Лист1!B115),Лист2!$E$2:$E$505)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cm="1">
        <f t="array" ref="E116">_xlfn.XLOOKUP(1,(Лист2!$A$2:$A$505=Лист1!A116)*(Лист2!$B$2:$B$505=Лист1!B116),Лист2!$C$2:$C$505)</f>
        <v>129</v>
      </c>
      <c r="F116" cm="1">
        <f t="array" ref="F116">_xlfn.XLOOKUP(1,(Лист2!$A$2:$A$505=Лист1!A116)*(Лист2!$B$2:$B$505=Лист1!B116),Лист2!$D$2:$D$505)</f>
        <v>16420</v>
      </c>
      <c r="G116" cm="1">
        <f t="array" ref="G116">_xlfn.XLOOKUP(1,(Лист2!$A$2:$A$505=Лист1!A116)*(Лист2!$B$2:$B$505=Лист1!B116),Лист2!$E$2:$E$505)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cm="1">
        <f t="array" ref="E117">_xlfn.XLOOKUP(1,(Лист2!$A$2:$A$505=Лист1!A117)*(Лист2!$B$2:$B$505=Лист1!B117),Лист2!$C$2:$C$505)</f>
        <v>129</v>
      </c>
      <c r="F117" cm="1">
        <f t="array" ref="F117">_xlfn.XLOOKUP(1,(Лист2!$A$2:$A$505=Лист1!A117)*(Лист2!$B$2:$B$505=Лист1!B117),Лист2!$D$2:$D$505)</f>
        <v>16525</v>
      </c>
      <c r="G117" cm="1">
        <f t="array" ref="G117">_xlfn.XLOOKUP(1,(Лист2!$A$2:$A$505=Лист1!A117)*(Лист2!$B$2:$B$505=Лист1!B117),Лист2!$E$2:$E$505)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cm="1">
        <f t="array" ref="E118">_xlfn.XLOOKUP(1,(Лист2!$A$2:$A$505=Лист1!A118)*(Лист2!$B$2:$B$505=Лист1!B118),Лист2!$C$2:$C$505)</f>
        <v>128</v>
      </c>
      <c r="F118" cm="1">
        <f t="array" ref="F118">_xlfn.XLOOKUP(1,(Лист2!$A$2:$A$505=Лист1!A118)*(Лист2!$B$2:$B$505=Лист1!B118),Лист2!$D$2:$D$505)</f>
        <v>17368</v>
      </c>
      <c r="G118" cm="1">
        <f t="array" ref="G118">_xlfn.XLOOKUP(1,(Лист2!$A$2:$A$505=Лист1!A118)*(Лист2!$B$2:$B$505=Лист1!B118),Лист2!$E$2:$E$505)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cm="1">
        <f t="array" ref="E119">_xlfn.XLOOKUP(1,(Лист2!$A$2:$A$505=Лист1!A119)*(Лист2!$B$2:$B$505=Лист1!B119),Лист2!$C$2:$C$505)</f>
        <v>129</v>
      </c>
      <c r="F119" cm="1">
        <f t="array" ref="F119">_xlfn.XLOOKUP(1,(Лист2!$A$2:$A$505=Лист1!A119)*(Лист2!$B$2:$B$505=Лист1!B119),Лист2!$D$2:$D$505)</f>
        <v>14009</v>
      </c>
      <c r="G119" cm="1">
        <f t="array" ref="G119">_xlfn.XLOOKUP(1,(Лист2!$A$2:$A$505=Лист1!A119)*(Лист2!$B$2:$B$505=Лист1!B119),Лист2!$E$2:$E$505)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cm="1">
        <f t="array" ref="E120">_xlfn.XLOOKUP(1,(Лист2!$A$2:$A$505=Лист1!A120)*(Лист2!$B$2:$B$505=Лист1!B120),Лист2!$C$2:$C$505)</f>
        <v>129</v>
      </c>
      <c r="F120" cm="1">
        <f t="array" ref="F120">_xlfn.XLOOKUP(1,(Лист2!$A$2:$A$505=Лист1!A120)*(Лист2!$B$2:$B$505=Лист1!B120),Лист2!$D$2:$D$505)</f>
        <v>16459</v>
      </c>
      <c r="G120" cm="1">
        <f t="array" ref="G120">_xlfn.XLOOKUP(1,(Лист2!$A$2:$A$505=Лист1!A120)*(Лист2!$B$2:$B$505=Лист1!B120),Лист2!$E$2:$E$505)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cm="1">
        <f t="array" ref="E121">_xlfn.XLOOKUP(1,(Лист2!$A$2:$A$505=Лист1!A121)*(Лист2!$B$2:$B$505=Лист1!B121),Лист2!$C$2:$C$505)</f>
        <v>129</v>
      </c>
      <c r="F121" cm="1">
        <f t="array" ref="F121">_xlfn.XLOOKUP(1,(Лист2!$A$2:$A$505=Лист1!A121)*(Лист2!$B$2:$B$505=Лист1!B121),Лист2!$D$2:$D$505)</f>
        <v>17002</v>
      </c>
      <c r="G121" cm="1">
        <f t="array" ref="G121">_xlfn.XLOOKUP(1,(Лист2!$A$2:$A$505=Лист1!A121)*(Лист2!$B$2:$B$505=Лист1!B121),Лист2!$E$2:$E$505)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cm="1">
        <f t="array" ref="E122">_xlfn.XLOOKUP(1,(Лист2!$A$2:$A$505=Лист1!A122)*(Лист2!$B$2:$B$505=Лист1!B122),Лист2!$C$2:$C$505)</f>
        <v>129</v>
      </c>
      <c r="F122" cm="1">
        <f t="array" ref="F122">_xlfn.XLOOKUP(1,(Лист2!$A$2:$A$505=Лист1!A122)*(Лист2!$B$2:$B$505=Лист1!B122),Лист2!$D$2:$D$505)</f>
        <v>16387</v>
      </c>
      <c r="G122" cm="1">
        <f t="array" ref="G122">_xlfn.XLOOKUP(1,(Лист2!$A$2:$A$505=Лист1!A122)*(Лист2!$B$2:$B$505=Лист1!B122),Лист2!$E$2:$E$505)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cm="1">
        <f t="array" ref="E123">_xlfn.XLOOKUP(1,(Лист2!$A$2:$A$505=Лист1!A123)*(Лист2!$B$2:$B$505=Лист1!B123),Лист2!$C$2:$C$505)</f>
        <v>129</v>
      </c>
      <c r="F123" cm="1">
        <f t="array" ref="F123">_xlfn.XLOOKUP(1,(Лист2!$A$2:$A$505=Лист1!A123)*(Лист2!$B$2:$B$505=Лист1!B123),Лист2!$D$2:$D$505)</f>
        <v>16373</v>
      </c>
      <c r="G123" cm="1">
        <f t="array" ref="G123">_xlfn.XLOOKUP(1,(Лист2!$A$2:$A$505=Лист1!A123)*(Лист2!$B$2:$B$505=Лист1!B123),Лист2!$E$2:$E$505)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cm="1">
        <f t="array" ref="E124">_xlfn.XLOOKUP(1,(Лист2!$A$2:$A$505=Лист1!A124)*(Лист2!$B$2:$B$505=Лист1!B124),Лист2!$C$2:$C$505)</f>
        <v>129</v>
      </c>
      <c r="F124" cm="1">
        <f t="array" ref="F124">_xlfn.XLOOKUP(1,(Лист2!$A$2:$A$505=Лист1!A124)*(Лист2!$B$2:$B$505=Лист1!B124),Лист2!$D$2:$D$505)</f>
        <v>17095</v>
      </c>
      <c r="G124" cm="1">
        <f t="array" ref="G124">_xlfn.XLOOKUP(1,(Лист2!$A$2:$A$505=Лист1!A124)*(Лист2!$B$2:$B$505=Лист1!B124),Лист2!$E$2:$E$505)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cm="1">
        <f t="array" ref="E125">_xlfn.XLOOKUP(1,(Лист2!$A$2:$A$505=Лист1!A125)*(Лист2!$B$2:$B$505=Лист1!B125),Лист2!$C$2:$C$505)</f>
        <v>129</v>
      </c>
      <c r="F125" cm="1">
        <f t="array" ref="F125">_xlfn.XLOOKUP(1,(Лист2!$A$2:$A$505=Лист1!A125)*(Лист2!$B$2:$B$505=Лист1!B125),Лист2!$D$2:$D$505)</f>
        <v>15665</v>
      </c>
      <c r="G125" cm="1">
        <f t="array" ref="G125">_xlfn.XLOOKUP(1,(Лист2!$A$2:$A$505=Лист1!A125)*(Лист2!$B$2:$B$505=Лист1!B125),Лист2!$E$2:$E$505)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cm="1">
        <f t="array" ref="E126">_xlfn.XLOOKUP(1,(Лист2!$A$2:$A$505=Лист1!A126)*(Лист2!$B$2:$B$505=Лист1!B126),Лист2!$C$2:$C$505)</f>
        <v>128</v>
      </c>
      <c r="F126" cm="1">
        <f t="array" ref="F126">_xlfn.XLOOKUP(1,(Лист2!$A$2:$A$505=Лист1!A126)*(Лист2!$B$2:$B$505=Лист1!B126),Лист2!$D$2:$D$505)</f>
        <v>16450</v>
      </c>
      <c r="G126" cm="1">
        <f t="array" ref="G126">_xlfn.XLOOKUP(1,(Лист2!$A$2:$A$505=Лист1!A126)*(Лист2!$B$2:$B$505=Лист1!B126),Лист2!$E$2:$E$505)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cm="1">
        <f t="array" ref="E127">_xlfn.XLOOKUP(1,(Лист2!$A$2:$A$505=Лист1!A127)*(Лист2!$B$2:$B$505=Лист1!B127),Лист2!$C$2:$C$505)</f>
        <v>129</v>
      </c>
      <c r="F127" cm="1">
        <f t="array" ref="F127">_xlfn.XLOOKUP(1,(Лист2!$A$2:$A$505=Лист1!A127)*(Лист2!$B$2:$B$505=Лист1!B127),Лист2!$D$2:$D$505)</f>
        <v>15304</v>
      </c>
      <c r="G127" cm="1">
        <f t="array" ref="G127">_xlfn.XLOOKUP(1,(Лист2!$A$2:$A$505=Лист1!A127)*(Лист2!$B$2:$B$505=Лист1!B127),Лист2!$E$2:$E$505)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cm="1">
        <f t="array" ref="E128">_xlfn.XLOOKUP(1,(Лист2!$A$2:$A$505=Лист1!A128)*(Лист2!$B$2:$B$505=Лист1!B128),Лист2!$C$2:$C$505)</f>
        <v>129</v>
      </c>
      <c r="F128" cm="1">
        <f t="array" ref="F128">_xlfn.XLOOKUP(1,(Лист2!$A$2:$A$505=Лист1!A128)*(Лист2!$B$2:$B$505=Лист1!B128),Лист2!$D$2:$D$505)</f>
        <v>15778</v>
      </c>
      <c r="G128" cm="1">
        <f t="array" ref="G128">_xlfn.XLOOKUP(1,(Лист2!$A$2:$A$505=Лист1!A128)*(Лист2!$B$2:$B$505=Лист1!B128),Лист2!$E$2:$E$505)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cm="1">
        <f t="array" ref="E129">_xlfn.XLOOKUP(1,(Лист2!$A$2:$A$505=Лист1!A129)*(Лист2!$B$2:$B$505=Лист1!B129),Лист2!$C$2:$C$505)</f>
        <v>129</v>
      </c>
      <c r="F129" cm="1">
        <f t="array" ref="F129">_xlfn.XLOOKUP(1,(Лист2!$A$2:$A$505=Лист1!A129)*(Лист2!$B$2:$B$505=Лист1!B129),Лист2!$D$2:$D$505)</f>
        <v>16376</v>
      </c>
      <c r="G129" cm="1">
        <f t="array" ref="G129">_xlfn.XLOOKUP(1,(Лист2!$A$2:$A$505=Лист1!A129)*(Лист2!$B$2:$B$505=Лист1!B129),Лист2!$E$2:$E$505)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cm="1">
        <f t="array" ref="E130">_xlfn.XLOOKUP(1,(Лист2!$A$2:$A$505=Лист1!A130)*(Лист2!$B$2:$B$505=Лист1!B130),Лист2!$C$2:$C$505)</f>
        <v>129</v>
      </c>
      <c r="F130" cm="1">
        <f t="array" ref="F130">_xlfn.XLOOKUP(1,(Лист2!$A$2:$A$505=Лист1!A130)*(Лист2!$B$2:$B$505=Лист1!B130),Лист2!$D$2:$D$505)</f>
        <v>19856</v>
      </c>
      <c r="G130" cm="1">
        <f t="array" ref="G130">_xlfn.XLOOKUP(1,(Лист2!$A$2:$A$505=Лист1!A130)*(Лист2!$B$2:$B$505=Лист1!B130),Лист2!$E$2:$E$505)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cm="1">
        <f t="array" ref="E131">_xlfn.XLOOKUP(1,(Лист2!$A$2:$A$505=Лист1!A131)*(Лист2!$B$2:$B$505=Лист1!B131),Лист2!$C$2:$C$505)</f>
        <v>129</v>
      </c>
      <c r="F131" cm="1">
        <f t="array" ref="F131">_xlfn.XLOOKUP(1,(Лист2!$A$2:$A$505=Лист1!A131)*(Лист2!$B$2:$B$505=Лист1!B131),Лист2!$D$2:$D$505)</f>
        <v>15822</v>
      </c>
      <c r="G131" cm="1">
        <f t="array" ref="G131">_xlfn.XLOOKUP(1,(Лист2!$A$2:$A$505=Лист1!A131)*(Лист2!$B$2:$B$505=Лист1!B131),Лист2!$E$2:$E$505)</f>
        <v>14753</v>
      </c>
      <c r="H131">
        <f t="shared" ref="H131:H194" si="4">D131/E131</f>
        <v>210588.47674418605</v>
      </c>
      <c r="I131">
        <f t="shared" ref="I131:I194" si="5">WEEKNUM(A131, 2)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cm="1">
        <f t="array" ref="E132">_xlfn.XLOOKUP(1,(Лист2!$A$2:$A$505=Лист1!A132)*(Лист2!$B$2:$B$505=Лист1!B132),Лист2!$C$2:$C$505)</f>
        <v>129</v>
      </c>
      <c r="F132" cm="1">
        <f t="array" ref="F132">_xlfn.XLOOKUP(1,(Лист2!$A$2:$A$505=Лист1!A132)*(Лист2!$B$2:$B$505=Лист1!B132),Лист2!$D$2:$D$505)</f>
        <v>18042</v>
      </c>
      <c r="G132" cm="1">
        <f t="array" ref="G132">_xlfn.XLOOKUP(1,(Лист2!$A$2:$A$505=Лист1!A132)*(Лист2!$B$2:$B$505=Лист1!B132),Лист2!$E$2:$E$505)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cm="1">
        <f t="array" ref="E133">_xlfn.XLOOKUP(1,(Лист2!$A$2:$A$505=Лист1!A133)*(Лист2!$B$2:$B$505=Лист1!B133),Лист2!$C$2:$C$505)</f>
        <v>129</v>
      </c>
      <c r="F133" cm="1">
        <f t="array" ref="F133">_xlfn.XLOOKUP(1,(Лист2!$A$2:$A$505=Лист1!A133)*(Лист2!$B$2:$B$505=Лист1!B133),Лист2!$D$2:$D$505)</f>
        <v>16437</v>
      </c>
      <c r="G133" cm="1">
        <f t="array" ref="G133">_xlfn.XLOOKUP(1,(Лист2!$A$2:$A$505=Лист1!A133)*(Лист2!$B$2:$B$505=Лист1!B133),Лист2!$E$2:$E$505)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cm="1">
        <f t="array" ref="E134">_xlfn.XLOOKUP(1,(Лист2!$A$2:$A$505=Лист1!A134)*(Лист2!$B$2:$B$505=Лист1!B134),Лист2!$C$2:$C$505)</f>
        <v>129</v>
      </c>
      <c r="F134" cm="1">
        <f t="array" ref="F134">_xlfn.XLOOKUP(1,(Лист2!$A$2:$A$505=Лист1!A134)*(Лист2!$B$2:$B$505=Лист1!B134),Лист2!$D$2:$D$505)</f>
        <v>20452</v>
      </c>
      <c r="G134" cm="1">
        <f t="array" ref="G134">_xlfn.XLOOKUP(1,(Лист2!$A$2:$A$505=Лист1!A134)*(Лист2!$B$2:$B$505=Лист1!B134),Лист2!$E$2:$E$505)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cm="1">
        <f t="array" ref="E135">_xlfn.XLOOKUP(1,(Лист2!$A$2:$A$505=Лист1!A135)*(Лист2!$B$2:$B$505=Лист1!B135),Лист2!$C$2:$C$505)</f>
        <v>129</v>
      </c>
      <c r="F135" cm="1">
        <f t="array" ref="F135">_xlfn.XLOOKUP(1,(Лист2!$A$2:$A$505=Лист1!A135)*(Лист2!$B$2:$B$505=Лист1!B135),Лист2!$D$2:$D$505)</f>
        <v>14582</v>
      </c>
      <c r="G135" cm="1">
        <f t="array" ref="G135">_xlfn.XLOOKUP(1,(Лист2!$A$2:$A$505=Лист1!A135)*(Лист2!$B$2:$B$505=Лист1!B135),Лист2!$E$2:$E$505)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cm="1">
        <f t="array" ref="E136">_xlfn.XLOOKUP(1,(Лист2!$A$2:$A$505=Лист1!A136)*(Лист2!$B$2:$B$505=Лист1!B136),Лист2!$C$2:$C$505)</f>
        <v>129</v>
      </c>
      <c r="F136" cm="1">
        <f t="array" ref="F136">_xlfn.XLOOKUP(1,(Лист2!$A$2:$A$505=Лист1!A136)*(Лист2!$B$2:$B$505=Лист1!B136),Лист2!$D$2:$D$505)</f>
        <v>16432</v>
      </c>
      <c r="G136" cm="1">
        <f t="array" ref="G136">_xlfn.XLOOKUP(1,(Лист2!$A$2:$A$505=Лист1!A136)*(Лист2!$B$2:$B$505=Лист1!B136),Лист2!$E$2:$E$505)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cm="1">
        <f t="array" ref="E137">_xlfn.XLOOKUP(1,(Лист2!$A$2:$A$505=Лист1!A137)*(Лист2!$B$2:$B$505=Лист1!B137),Лист2!$C$2:$C$505)</f>
        <v>125</v>
      </c>
      <c r="F137" cm="1">
        <f t="array" ref="F137">_xlfn.XLOOKUP(1,(Лист2!$A$2:$A$505=Лист1!A137)*(Лист2!$B$2:$B$505=Лист1!B137),Лист2!$D$2:$D$505)</f>
        <v>22291</v>
      </c>
      <c r="G137" cm="1">
        <f t="array" ref="G137">_xlfn.XLOOKUP(1,(Лист2!$A$2:$A$505=Лист1!A137)*(Лист2!$B$2:$B$505=Лист1!B137),Лист2!$E$2:$E$505)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cm="1">
        <f t="array" ref="E138">_xlfn.XLOOKUP(1,(Лист2!$A$2:$A$505=Лист1!A138)*(Лист2!$B$2:$B$505=Лист1!B138),Лист2!$C$2:$C$505)</f>
        <v>125</v>
      </c>
      <c r="F138" cm="1">
        <f t="array" ref="F138">_xlfn.XLOOKUP(1,(Лист2!$A$2:$A$505=Лист1!A138)*(Лист2!$B$2:$B$505=Лист1!B138),Лист2!$D$2:$D$505)</f>
        <v>20771</v>
      </c>
      <c r="G138" cm="1">
        <f t="array" ref="G138">_xlfn.XLOOKUP(1,(Лист2!$A$2:$A$505=Лист1!A138)*(Лист2!$B$2:$B$505=Лист1!B138),Лист2!$E$2:$E$505)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cm="1">
        <f t="array" ref="E139">_xlfn.XLOOKUP(1,(Лист2!$A$2:$A$505=Лист1!A139)*(Лист2!$B$2:$B$505=Лист1!B139),Лист2!$C$2:$C$505)</f>
        <v>125</v>
      </c>
      <c r="F139" cm="1">
        <f t="array" ref="F139">_xlfn.XLOOKUP(1,(Лист2!$A$2:$A$505=Лист1!A139)*(Лист2!$B$2:$B$505=Лист1!B139),Лист2!$D$2:$D$505)</f>
        <v>20079</v>
      </c>
      <c r="G139" cm="1">
        <f t="array" ref="G139">_xlfn.XLOOKUP(1,(Лист2!$A$2:$A$505=Лист1!A139)*(Лист2!$B$2:$B$505=Лист1!B139),Лист2!$E$2:$E$505)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cm="1">
        <f t="array" ref="E140">_xlfn.XLOOKUP(1,(Лист2!$A$2:$A$505=Лист1!A140)*(Лист2!$B$2:$B$505=Лист1!B140),Лист2!$C$2:$C$505)</f>
        <v>125</v>
      </c>
      <c r="F140" cm="1">
        <f t="array" ref="F140">_xlfn.XLOOKUP(1,(Лист2!$A$2:$A$505=Лист1!A140)*(Лист2!$B$2:$B$505=Лист1!B140),Лист2!$D$2:$D$505)</f>
        <v>20132</v>
      </c>
      <c r="G140" cm="1">
        <f t="array" ref="G140">_xlfn.XLOOKUP(1,(Лист2!$A$2:$A$505=Лист1!A140)*(Лист2!$B$2:$B$505=Лист1!B140),Лист2!$E$2:$E$505)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cm="1">
        <f t="array" ref="E141">_xlfn.XLOOKUP(1,(Лист2!$A$2:$A$505=Лист1!A141)*(Лист2!$B$2:$B$505=Лист1!B141),Лист2!$C$2:$C$505)</f>
        <v>125</v>
      </c>
      <c r="F141" cm="1">
        <f t="array" ref="F141">_xlfn.XLOOKUP(1,(Лист2!$A$2:$A$505=Лист1!A141)*(Лист2!$B$2:$B$505=Лист1!B141),Лист2!$D$2:$D$505)</f>
        <v>20495</v>
      </c>
      <c r="G141" cm="1">
        <f t="array" ref="G141">_xlfn.XLOOKUP(1,(Лист2!$A$2:$A$505=Лист1!A141)*(Лист2!$B$2:$B$505=Лист1!B141),Лист2!$E$2:$E$505)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cm="1">
        <f t="array" ref="E142">_xlfn.XLOOKUP(1,(Лист2!$A$2:$A$505=Лист1!A142)*(Лист2!$B$2:$B$505=Лист1!B142),Лист2!$C$2:$C$505)</f>
        <v>125</v>
      </c>
      <c r="F142" cm="1">
        <f t="array" ref="F142">_xlfn.XLOOKUP(1,(Лист2!$A$2:$A$505=Лист1!A142)*(Лист2!$B$2:$B$505=Лист1!B142),Лист2!$D$2:$D$505)</f>
        <v>21863</v>
      </c>
      <c r="G142" cm="1">
        <f t="array" ref="G142">_xlfn.XLOOKUP(1,(Лист2!$A$2:$A$505=Лист1!A142)*(Лист2!$B$2:$B$505=Лист1!B142),Лист2!$E$2:$E$505)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cm="1">
        <f t="array" ref="E143">_xlfn.XLOOKUP(1,(Лист2!$A$2:$A$505=Лист1!A143)*(Лист2!$B$2:$B$505=Лист1!B143),Лист2!$C$2:$C$505)</f>
        <v>125</v>
      </c>
      <c r="F143" cm="1">
        <f t="array" ref="F143">_xlfn.XLOOKUP(1,(Лист2!$A$2:$A$505=Лист1!A143)*(Лист2!$B$2:$B$505=Лист1!B143),Лист2!$D$2:$D$505)</f>
        <v>16932</v>
      </c>
      <c r="G143" cm="1">
        <f t="array" ref="G143">_xlfn.XLOOKUP(1,(Лист2!$A$2:$A$505=Лист1!A143)*(Лист2!$B$2:$B$505=Лист1!B143),Лист2!$E$2:$E$505)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cm="1">
        <f t="array" ref="E144">_xlfn.XLOOKUP(1,(Лист2!$A$2:$A$505=Лист1!A144)*(Лист2!$B$2:$B$505=Лист1!B144),Лист2!$C$2:$C$505)</f>
        <v>124</v>
      </c>
      <c r="F144" cm="1">
        <f t="array" ref="F144">_xlfn.XLOOKUP(1,(Лист2!$A$2:$A$505=Лист1!A144)*(Лист2!$B$2:$B$505=Лист1!B144),Лист2!$D$2:$D$505)</f>
        <v>21153</v>
      </c>
      <c r="G144" cm="1">
        <f t="array" ref="G144">_xlfn.XLOOKUP(1,(Лист2!$A$2:$A$505=Лист1!A144)*(Лист2!$B$2:$B$505=Лист1!B144),Лист2!$E$2:$E$505)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cm="1">
        <f t="array" ref="E145">_xlfn.XLOOKUP(1,(Лист2!$A$2:$A$505=Лист1!A145)*(Лист2!$B$2:$B$505=Лист1!B145),Лист2!$C$2:$C$505)</f>
        <v>125</v>
      </c>
      <c r="F145" cm="1">
        <f t="array" ref="F145">_xlfn.XLOOKUP(1,(Лист2!$A$2:$A$505=Лист1!A145)*(Лист2!$B$2:$B$505=Лист1!B145),Лист2!$D$2:$D$505)</f>
        <v>20602</v>
      </c>
      <c r="G145" cm="1">
        <f t="array" ref="G145">_xlfn.XLOOKUP(1,(Лист2!$A$2:$A$505=Лист1!A145)*(Лист2!$B$2:$B$505=Лист1!B145),Лист2!$E$2:$E$505)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cm="1">
        <f t="array" ref="E146">_xlfn.XLOOKUP(1,(Лист2!$A$2:$A$505=Лист1!A146)*(Лист2!$B$2:$B$505=Лист1!B146),Лист2!$C$2:$C$505)</f>
        <v>125</v>
      </c>
      <c r="F146" cm="1">
        <f t="array" ref="F146">_xlfn.XLOOKUP(1,(Лист2!$A$2:$A$505=Лист1!A146)*(Лист2!$B$2:$B$505=Лист1!B146),Лист2!$D$2:$D$505)</f>
        <v>21106</v>
      </c>
      <c r="G146" cm="1">
        <f t="array" ref="G146">_xlfn.XLOOKUP(1,(Лист2!$A$2:$A$505=Лист1!A146)*(Лист2!$B$2:$B$505=Лист1!B146),Лист2!$E$2:$E$505)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cm="1">
        <f t="array" ref="E147">_xlfn.XLOOKUP(1,(Лист2!$A$2:$A$505=Лист1!A147)*(Лист2!$B$2:$B$505=Лист1!B147),Лист2!$C$2:$C$505)</f>
        <v>125</v>
      </c>
      <c r="F147" cm="1">
        <f t="array" ref="F147">_xlfn.XLOOKUP(1,(Лист2!$A$2:$A$505=Лист1!A147)*(Лист2!$B$2:$B$505=Лист1!B147),Лист2!$D$2:$D$505)</f>
        <v>20911</v>
      </c>
      <c r="G147" cm="1">
        <f t="array" ref="G147">_xlfn.XLOOKUP(1,(Лист2!$A$2:$A$505=Лист1!A147)*(Лист2!$B$2:$B$505=Лист1!B147),Лист2!$E$2:$E$505)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cm="1">
        <f t="array" ref="E148">_xlfn.XLOOKUP(1,(Лист2!$A$2:$A$505=Лист1!A148)*(Лист2!$B$2:$B$505=Лист1!B148),Лист2!$C$2:$C$505)</f>
        <v>125</v>
      </c>
      <c r="F148" cm="1">
        <f t="array" ref="F148">_xlfn.XLOOKUP(1,(Лист2!$A$2:$A$505=Лист1!A148)*(Лист2!$B$2:$B$505=Лист1!B148),Лист2!$D$2:$D$505)</f>
        <v>21674</v>
      </c>
      <c r="G148" cm="1">
        <f t="array" ref="G148">_xlfn.XLOOKUP(1,(Лист2!$A$2:$A$505=Лист1!A148)*(Лист2!$B$2:$B$505=Лист1!B148),Лист2!$E$2:$E$505)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cm="1">
        <f t="array" ref="E149">_xlfn.XLOOKUP(1,(Лист2!$A$2:$A$505=Лист1!A149)*(Лист2!$B$2:$B$505=Лист1!B149),Лист2!$C$2:$C$505)</f>
        <v>125</v>
      </c>
      <c r="F149" cm="1">
        <f t="array" ref="F149">_xlfn.XLOOKUP(1,(Лист2!$A$2:$A$505=Лист1!A149)*(Лист2!$B$2:$B$505=Лист1!B149),Лист2!$D$2:$D$505)</f>
        <v>18944</v>
      </c>
      <c r="G149" cm="1">
        <f t="array" ref="G149">_xlfn.XLOOKUP(1,(Лист2!$A$2:$A$505=Лист1!A149)*(Лист2!$B$2:$B$505=Лист1!B149),Лист2!$E$2:$E$505)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cm="1">
        <f t="array" ref="E150">_xlfn.XLOOKUP(1,(Лист2!$A$2:$A$505=Лист1!A150)*(Лист2!$B$2:$B$505=Лист1!B150),Лист2!$C$2:$C$505)</f>
        <v>125</v>
      </c>
      <c r="F150" cm="1">
        <f t="array" ref="F150">_xlfn.XLOOKUP(1,(Лист2!$A$2:$A$505=Лист1!A150)*(Лист2!$B$2:$B$505=Лист1!B150),Лист2!$D$2:$D$505)</f>
        <v>20914</v>
      </c>
      <c r="G150" cm="1">
        <f t="array" ref="G150">_xlfn.XLOOKUP(1,(Лист2!$A$2:$A$505=Лист1!A150)*(Лист2!$B$2:$B$505=Лист1!B150),Лист2!$E$2:$E$505)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cm="1">
        <f t="array" ref="E151">_xlfn.XLOOKUP(1,(Лист2!$A$2:$A$505=Лист1!A151)*(Лист2!$B$2:$B$505=Лист1!B151),Лист2!$C$2:$C$505)</f>
        <v>125</v>
      </c>
      <c r="F151" cm="1">
        <f t="array" ref="F151">_xlfn.XLOOKUP(1,(Лист2!$A$2:$A$505=Лист1!A151)*(Лист2!$B$2:$B$505=Лист1!B151),Лист2!$D$2:$D$505)</f>
        <v>19965</v>
      </c>
      <c r="G151" cm="1">
        <f t="array" ref="G151">_xlfn.XLOOKUP(1,(Лист2!$A$2:$A$505=Лист1!A151)*(Лист2!$B$2:$B$505=Лист1!B151),Лист2!$E$2:$E$505)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cm="1">
        <f t="array" ref="E152">_xlfn.XLOOKUP(1,(Лист2!$A$2:$A$505=Лист1!A152)*(Лист2!$B$2:$B$505=Лист1!B152),Лист2!$C$2:$C$505)</f>
        <v>129</v>
      </c>
      <c r="F152" cm="1">
        <f t="array" ref="F152">_xlfn.XLOOKUP(1,(Лист2!$A$2:$A$505=Лист1!A152)*(Лист2!$B$2:$B$505=Лист1!B152),Лист2!$D$2:$D$505)</f>
        <v>17235</v>
      </c>
      <c r="G152" cm="1">
        <f t="array" ref="G152">_xlfn.XLOOKUP(1,(Лист2!$A$2:$A$505=Лист1!A152)*(Лист2!$B$2:$B$505=Лист1!B152),Лист2!$E$2:$E$505)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cm="1">
        <f t="array" ref="E153">_xlfn.XLOOKUP(1,(Лист2!$A$2:$A$505=Лист1!A153)*(Лист2!$B$2:$B$505=Лист1!B153),Лист2!$C$2:$C$505)</f>
        <v>125</v>
      </c>
      <c r="F153" cm="1">
        <f t="array" ref="F153">_xlfn.XLOOKUP(1,(Лист2!$A$2:$A$505=Лист1!A153)*(Лист2!$B$2:$B$505=Лист1!B153),Лист2!$D$2:$D$505)</f>
        <v>18861</v>
      </c>
      <c r="G153" cm="1">
        <f t="array" ref="G153">_xlfn.XLOOKUP(1,(Лист2!$A$2:$A$505=Лист1!A153)*(Лист2!$B$2:$B$505=Лист1!B153),Лист2!$E$2:$E$505)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cm="1">
        <f t="array" ref="E154">_xlfn.XLOOKUP(1,(Лист2!$A$2:$A$505=Лист1!A154)*(Лист2!$B$2:$B$505=Лист1!B154),Лист2!$C$2:$C$505)</f>
        <v>129</v>
      </c>
      <c r="F154" cm="1">
        <f t="array" ref="F154">_xlfn.XLOOKUP(1,(Лист2!$A$2:$A$505=Лист1!A154)*(Лист2!$B$2:$B$505=Лист1!B154),Лист2!$D$2:$D$505)</f>
        <v>20243</v>
      </c>
      <c r="G154" cm="1">
        <f t="array" ref="G154">_xlfn.XLOOKUP(1,(Лист2!$A$2:$A$505=Лист1!A154)*(Лист2!$B$2:$B$505=Лист1!B154),Лист2!$E$2:$E$505)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cm="1">
        <f t="array" ref="E155">_xlfn.XLOOKUP(1,(Лист2!$A$2:$A$505=Лист1!A155)*(Лист2!$B$2:$B$505=Лист1!B155),Лист2!$C$2:$C$505)</f>
        <v>125</v>
      </c>
      <c r="F155" cm="1">
        <f t="array" ref="F155">_xlfn.XLOOKUP(1,(Лист2!$A$2:$A$505=Лист1!A155)*(Лист2!$B$2:$B$505=Лист1!B155),Лист2!$D$2:$D$505)</f>
        <v>20218</v>
      </c>
      <c r="G155" cm="1">
        <f t="array" ref="G155">_xlfn.XLOOKUP(1,(Лист2!$A$2:$A$505=Лист1!A155)*(Лист2!$B$2:$B$505=Лист1!B155),Лист2!$E$2:$E$505)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cm="1">
        <f t="array" ref="E156">_xlfn.XLOOKUP(1,(Лист2!$A$2:$A$505=Лист1!A156)*(Лист2!$B$2:$B$505=Лист1!B156),Лист2!$C$2:$C$505)</f>
        <v>125</v>
      </c>
      <c r="F156" cm="1">
        <f t="array" ref="F156">_xlfn.XLOOKUP(1,(Лист2!$A$2:$A$505=Лист1!A156)*(Лист2!$B$2:$B$505=Лист1!B156),Лист2!$D$2:$D$505)</f>
        <v>24574</v>
      </c>
      <c r="G156" cm="1">
        <f t="array" ref="G156">_xlfn.XLOOKUP(1,(Лист2!$A$2:$A$505=Лист1!A156)*(Лист2!$B$2:$B$505=Лист1!B156),Лист2!$E$2:$E$505)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cm="1">
        <f t="array" ref="E157">_xlfn.XLOOKUP(1,(Лист2!$A$2:$A$505=Лист1!A157)*(Лист2!$B$2:$B$505=Лист1!B157),Лист2!$C$2:$C$505)</f>
        <v>129</v>
      </c>
      <c r="F157" cm="1">
        <f t="array" ref="F157">_xlfn.XLOOKUP(1,(Лист2!$A$2:$A$505=Лист1!A157)*(Лист2!$B$2:$B$505=Лист1!B157),Лист2!$D$2:$D$505)</f>
        <v>16453</v>
      </c>
      <c r="G157" cm="1">
        <f t="array" ref="G157">_xlfn.XLOOKUP(1,(Лист2!$A$2:$A$505=Лист1!A157)*(Лист2!$B$2:$B$505=Лист1!B157),Лист2!$E$2:$E$505)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cm="1">
        <f t="array" ref="E158">_xlfn.XLOOKUP(1,(Лист2!$A$2:$A$505=Лист1!A158)*(Лист2!$B$2:$B$505=Лист1!B158),Лист2!$C$2:$C$505)</f>
        <v>124</v>
      </c>
      <c r="F158" cm="1">
        <f t="array" ref="F158">_xlfn.XLOOKUP(1,(Лист2!$A$2:$A$505=Лист1!A158)*(Лист2!$B$2:$B$505=Лист1!B158),Лист2!$D$2:$D$505)</f>
        <v>20358</v>
      </c>
      <c r="G158" cm="1">
        <f t="array" ref="G158">_xlfn.XLOOKUP(1,(Лист2!$A$2:$A$505=Лист1!A158)*(Лист2!$B$2:$B$505=Лист1!B158),Лист2!$E$2:$E$505)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cm="1">
        <f t="array" ref="E159">_xlfn.XLOOKUP(1,(Лист2!$A$2:$A$505=Лист1!A159)*(Лист2!$B$2:$B$505=Лист1!B159),Лист2!$C$2:$C$505)</f>
        <v>125</v>
      </c>
      <c r="F159" cm="1">
        <f t="array" ref="F159">_xlfn.XLOOKUP(1,(Лист2!$A$2:$A$505=Лист1!A159)*(Лист2!$B$2:$B$505=Лист1!B159),Лист2!$D$2:$D$505)</f>
        <v>22368</v>
      </c>
      <c r="G159" cm="1">
        <f t="array" ref="G159">_xlfn.XLOOKUP(1,(Лист2!$A$2:$A$505=Лист1!A159)*(Лист2!$B$2:$B$505=Лист1!B159),Лист2!$E$2:$E$505)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cm="1">
        <f t="array" ref="E160">_xlfn.XLOOKUP(1,(Лист2!$A$2:$A$505=Лист1!A160)*(Лист2!$B$2:$B$505=Лист1!B160),Лист2!$C$2:$C$505)</f>
        <v>125</v>
      </c>
      <c r="F160" cm="1">
        <f t="array" ref="F160">_xlfn.XLOOKUP(1,(Лист2!$A$2:$A$505=Лист1!A160)*(Лист2!$B$2:$B$505=Лист1!B160),Лист2!$D$2:$D$505)</f>
        <v>20368</v>
      </c>
      <c r="G160" cm="1">
        <f t="array" ref="G160">_xlfn.XLOOKUP(1,(Лист2!$A$2:$A$505=Лист1!A160)*(Лист2!$B$2:$B$505=Лист1!B160),Лист2!$E$2:$E$505)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cm="1">
        <f t="array" ref="E161">_xlfn.XLOOKUP(1,(Лист2!$A$2:$A$505=Лист1!A161)*(Лист2!$B$2:$B$505=Лист1!B161),Лист2!$C$2:$C$505)</f>
        <v>125</v>
      </c>
      <c r="F161" cm="1">
        <f t="array" ref="F161">_xlfn.XLOOKUP(1,(Лист2!$A$2:$A$505=Лист1!A161)*(Лист2!$B$2:$B$505=Лист1!B161),Лист2!$D$2:$D$505)</f>
        <v>24620</v>
      </c>
      <c r="G161" cm="1">
        <f t="array" ref="G161">_xlfn.XLOOKUP(1,(Лист2!$A$2:$A$505=Лист1!A161)*(Лист2!$B$2:$B$505=Лист1!B161),Лист2!$E$2:$E$505)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cm="1">
        <f t="array" ref="E162">_xlfn.XLOOKUP(1,(Лист2!$A$2:$A$505=Лист1!A162)*(Лист2!$B$2:$B$505=Лист1!B162),Лист2!$C$2:$C$505)</f>
        <v>125</v>
      </c>
      <c r="F162" cm="1">
        <f t="array" ref="F162">_xlfn.XLOOKUP(1,(Лист2!$A$2:$A$505=Лист1!A162)*(Лист2!$B$2:$B$505=Лист1!B162),Лист2!$D$2:$D$505)</f>
        <v>18014</v>
      </c>
      <c r="G162" cm="1">
        <f t="array" ref="G162">_xlfn.XLOOKUP(1,(Лист2!$A$2:$A$505=Лист1!A162)*(Лист2!$B$2:$B$505=Лист1!B162),Лист2!$E$2:$E$505)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cm="1">
        <f t="array" ref="E163">_xlfn.XLOOKUP(1,(Лист2!$A$2:$A$505=Лист1!A163)*(Лист2!$B$2:$B$505=Лист1!B163),Лист2!$C$2:$C$505)</f>
        <v>125</v>
      </c>
      <c r="F163" cm="1">
        <f t="array" ref="F163">_xlfn.XLOOKUP(1,(Лист2!$A$2:$A$505=Лист1!A163)*(Лист2!$B$2:$B$505=Лист1!B163),Лист2!$D$2:$D$505)</f>
        <v>21004</v>
      </c>
      <c r="G163" cm="1">
        <f t="array" ref="G163">_xlfn.XLOOKUP(1,(Лист2!$A$2:$A$505=Лист1!A163)*(Лист2!$B$2:$B$505=Лист1!B163),Лист2!$E$2:$E$505)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cm="1">
        <f t="array" ref="E164">_xlfn.XLOOKUP(1,(Лист2!$A$2:$A$505=Лист1!A164)*(Лист2!$B$2:$B$505=Лист1!B164),Лист2!$C$2:$C$505)</f>
        <v>36</v>
      </c>
      <c r="F164" cm="1">
        <f t="array" ref="F164">_xlfn.XLOOKUP(1,(Лист2!$A$2:$A$505=Лист1!A164)*(Лист2!$B$2:$B$505=Лист1!B164),Лист2!$D$2:$D$505)</f>
        <v>5286</v>
      </c>
      <c r="G164" cm="1">
        <f t="array" ref="G164">_xlfn.XLOOKUP(1,(Лист2!$A$2:$A$505=Лист1!A164)*(Лист2!$B$2:$B$505=Лист1!B164),Лист2!$E$2:$E$505)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cm="1">
        <f t="array" ref="E165">_xlfn.XLOOKUP(1,(Лист2!$A$2:$A$505=Лист1!A165)*(Лист2!$B$2:$B$505=Лист1!B165),Лист2!$C$2:$C$505)</f>
        <v>36</v>
      </c>
      <c r="F165" cm="1">
        <f t="array" ref="F165">_xlfn.XLOOKUP(1,(Лист2!$A$2:$A$505=Лист1!A165)*(Лист2!$B$2:$B$505=Лист1!B165),Лист2!$D$2:$D$505)</f>
        <v>5094</v>
      </c>
      <c r="G165" cm="1">
        <f t="array" ref="G165">_xlfn.XLOOKUP(1,(Лист2!$A$2:$A$505=Лист1!A165)*(Лист2!$B$2:$B$505=Лист1!B165),Лист2!$E$2:$E$505)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cm="1">
        <f t="array" ref="E166">_xlfn.XLOOKUP(1,(Лист2!$A$2:$A$505=Лист1!A166)*(Лист2!$B$2:$B$505=Лист1!B166),Лист2!$C$2:$C$505)</f>
        <v>36</v>
      </c>
      <c r="F166" cm="1">
        <f t="array" ref="F166">_xlfn.XLOOKUP(1,(Лист2!$A$2:$A$505=Лист1!A166)*(Лист2!$B$2:$B$505=Лист1!B166),Лист2!$D$2:$D$505)</f>
        <v>4918</v>
      </c>
      <c r="G166" cm="1">
        <f t="array" ref="G166">_xlfn.XLOOKUP(1,(Лист2!$A$2:$A$505=Лист1!A166)*(Лист2!$B$2:$B$505=Лист1!B166),Лист2!$E$2:$E$505)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cm="1">
        <f t="array" ref="E167">_xlfn.XLOOKUP(1,(Лист2!$A$2:$A$505=Лист1!A167)*(Лист2!$B$2:$B$505=Лист1!B167),Лист2!$C$2:$C$505)</f>
        <v>36</v>
      </c>
      <c r="F167" cm="1">
        <f t="array" ref="F167">_xlfn.XLOOKUP(1,(Лист2!$A$2:$A$505=Лист1!A167)*(Лист2!$B$2:$B$505=Лист1!B167),Лист2!$D$2:$D$505)</f>
        <v>5413</v>
      </c>
      <c r="G167" cm="1">
        <f t="array" ref="G167">_xlfn.XLOOKUP(1,(Лист2!$A$2:$A$505=Лист1!A167)*(Лист2!$B$2:$B$505=Лист1!B167),Лист2!$E$2:$E$505)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cm="1">
        <f t="array" ref="E168">_xlfn.XLOOKUP(1,(Лист2!$A$2:$A$505=Лист1!A168)*(Лист2!$B$2:$B$505=Лист1!B168),Лист2!$C$2:$C$505)</f>
        <v>36</v>
      </c>
      <c r="F168" cm="1">
        <f t="array" ref="F168">_xlfn.XLOOKUP(1,(Лист2!$A$2:$A$505=Лист1!A168)*(Лист2!$B$2:$B$505=Лист1!B168),Лист2!$D$2:$D$505)</f>
        <v>4508</v>
      </c>
      <c r="G168" cm="1">
        <f t="array" ref="G168">_xlfn.XLOOKUP(1,(Лист2!$A$2:$A$505=Лист1!A168)*(Лист2!$B$2:$B$505=Лист1!B168),Лист2!$E$2:$E$505)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cm="1">
        <f t="array" ref="E169">_xlfn.XLOOKUP(1,(Лист2!$A$2:$A$505=Лист1!A169)*(Лист2!$B$2:$B$505=Лист1!B169),Лист2!$C$2:$C$505)</f>
        <v>36</v>
      </c>
      <c r="F169" cm="1">
        <f t="array" ref="F169">_xlfn.XLOOKUP(1,(Лист2!$A$2:$A$505=Лист1!A169)*(Лист2!$B$2:$B$505=Лист1!B169),Лист2!$D$2:$D$505)</f>
        <v>4937</v>
      </c>
      <c r="G169" cm="1">
        <f t="array" ref="G169">_xlfn.XLOOKUP(1,(Лист2!$A$2:$A$505=Лист1!A169)*(Лист2!$B$2:$B$505=Лист1!B169),Лист2!$E$2:$E$505)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cm="1">
        <f t="array" ref="E170">_xlfn.XLOOKUP(1,(Лист2!$A$2:$A$505=Лист1!A170)*(Лист2!$B$2:$B$505=Лист1!B170),Лист2!$C$2:$C$505)</f>
        <v>36</v>
      </c>
      <c r="F170" cm="1">
        <f t="array" ref="F170">_xlfn.XLOOKUP(1,(Лист2!$A$2:$A$505=Лист1!A170)*(Лист2!$B$2:$B$505=Лист1!B170),Лист2!$D$2:$D$505)</f>
        <v>3442</v>
      </c>
      <c r="G170" cm="1">
        <f t="array" ref="G170">_xlfn.XLOOKUP(1,(Лист2!$A$2:$A$505=Лист1!A170)*(Лист2!$B$2:$B$505=Лист1!B170),Лист2!$E$2:$E$505)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cm="1">
        <f t="array" ref="E171">_xlfn.XLOOKUP(1,(Лист2!$A$2:$A$505=Лист1!A171)*(Лист2!$B$2:$B$505=Лист1!B171),Лист2!$C$2:$C$505)</f>
        <v>36</v>
      </c>
      <c r="F171" cm="1">
        <f t="array" ref="F171">_xlfn.XLOOKUP(1,(Лист2!$A$2:$A$505=Лист1!A171)*(Лист2!$B$2:$B$505=Лист1!B171),Лист2!$D$2:$D$505)</f>
        <v>4770</v>
      </c>
      <c r="G171" cm="1">
        <f t="array" ref="G171">_xlfn.XLOOKUP(1,(Лист2!$A$2:$A$505=Лист1!A171)*(Лист2!$B$2:$B$505=Лист1!B171),Лист2!$E$2:$E$505)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cm="1">
        <f t="array" ref="E172">_xlfn.XLOOKUP(1,(Лист2!$A$2:$A$505=Лист1!A172)*(Лист2!$B$2:$B$505=Лист1!B172),Лист2!$C$2:$C$505)</f>
        <v>36</v>
      </c>
      <c r="F172" cm="1">
        <f t="array" ref="F172">_xlfn.XLOOKUP(1,(Лист2!$A$2:$A$505=Лист1!A172)*(Лист2!$B$2:$B$505=Лист1!B172),Лист2!$D$2:$D$505)</f>
        <v>5457</v>
      </c>
      <c r="G172" cm="1">
        <f t="array" ref="G172">_xlfn.XLOOKUP(1,(Лист2!$A$2:$A$505=Лист1!A172)*(Лист2!$B$2:$B$505=Лист1!B172),Лист2!$E$2:$E$505)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cm="1">
        <f t="array" ref="E173">_xlfn.XLOOKUP(1,(Лист2!$A$2:$A$505=Лист1!A173)*(Лист2!$B$2:$B$505=Лист1!B173),Лист2!$C$2:$C$505)</f>
        <v>36</v>
      </c>
      <c r="F173" cm="1">
        <f t="array" ref="F173">_xlfn.XLOOKUP(1,(Лист2!$A$2:$A$505=Лист1!A173)*(Лист2!$B$2:$B$505=Лист1!B173),Лист2!$D$2:$D$505)</f>
        <v>4418</v>
      </c>
      <c r="G173" cm="1">
        <f t="array" ref="G173">_xlfn.XLOOKUP(1,(Лист2!$A$2:$A$505=Лист1!A173)*(Лист2!$B$2:$B$505=Лист1!B173),Лист2!$E$2:$E$505)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cm="1">
        <f t="array" ref="E174">_xlfn.XLOOKUP(1,(Лист2!$A$2:$A$505=Лист1!A174)*(Лист2!$B$2:$B$505=Лист1!B174),Лист2!$C$2:$C$505)</f>
        <v>36</v>
      </c>
      <c r="F174" cm="1">
        <f t="array" ref="F174">_xlfn.XLOOKUP(1,(Лист2!$A$2:$A$505=Лист1!A174)*(Лист2!$B$2:$B$505=Лист1!B174),Лист2!$D$2:$D$505)</f>
        <v>4816</v>
      </c>
      <c r="G174" cm="1">
        <f t="array" ref="G174">_xlfn.XLOOKUP(1,(Лист2!$A$2:$A$505=Лист1!A174)*(Лист2!$B$2:$B$505=Лист1!B174),Лист2!$E$2:$E$505)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cm="1">
        <f t="array" ref="E175">_xlfn.XLOOKUP(1,(Лист2!$A$2:$A$505=Лист1!A175)*(Лист2!$B$2:$B$505=Лист1!B175),Лист2!$C$2:$C$505)</f>
        <v>36</v>
      </c>
      <c r="F175" cm="1">
        <f t="array" ref="F175">_xlfn.XLOOKUP(1,(Лист2!$A$2:$A$505=Лист1!A175)*(Лист2!$B$2:$B$505=Лист1!B175),Лист2!$D$2:$D$505)</f>
        <v>5914</v>
      </c>
      <c r="G175" cm="1">
        <f t="array" ref="G175">_xlfn.XLOOKUP(1,(Лист2!$A$2:$A$505=Лист1!A175)*(Лист2!$B$2:$B$505=Лист1!B175),Лист2!$E$2:$E$505)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cm="1">
        <f t="array" ref="E176">_xlfn.XLOOKUP(1,(Лист2!$A$2:$A$505=Лист1!A176)*(Лист2!$B$2:$B$505=Лист1!B176),Лист2!$C$2:$C$505)</f>
        <v>36</v>
      </c>
      <c r="F176" cm="1">
        <f t="array" ref="F176">_xlfn.XLOOKUP(1,(Лист2!$A$2:$A$505=Лист1!A176)*(Лист2!$B$2:$B$505=Лист1!B176),Лист2!$D$2:$D$505)</f>
        <v>4575</v>
      </c>
      <c r="G176" cm="1">
        <f t="array" ref="G176">_xlfn.XLOOKUP(1,(Лист2!$A$2:$A$505=Лист1!A176)*(Лист2!$B$2:$B$505=Лист1!B176),Лист2!$E$2:$E$505)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cm="1">
        <f t="array" ref="E177">_xlfn.XLOOKUP(1,(Лист2!$A$2:$A$505=Лист1!A177)*(Лист2!$B$2:$B$505=Лист1!B177),Лист2!$C$2:$C$505)</f>
        <v>36</v>
      </c>
      <c r="F177" cm="1">
        <f t="array" ref="F177">_xlfn.XLOOKUP(1,(Лист2!$A$2:$A$505=Лист1!A177)*(Лист2!$B$2:$B$505=Лист1!B177),Лист2!$D$2:$D$505)</f>
        <v>4923</v>
      </c>
      <c r="G177" cm="1">
        <f t="array" ref="G177">_xlfn.XLOOKUP(1,(Лист2!$A$2:$A$505=Лист1!A177)*(Лист2!$B$2:$B$505=Лист1!B177),Лист2!$E$2:$E$505)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cm="1">
        <f t="array" ref="E178">_xlfn.XLOOKUP(1,(Лист2!$A$2:$A$505=Лист1!A178)*(Лист2!$B$2:$B$505=Лист1!B178),Лист2!$C$2:$C$505)</f>
        <v>36</v>
      </c>
      <c r="F178" cm="1">
        <f t="array" ref="F178">_xlfn.XLOOKUP(1,(Лист2!$A$2:$A$505=Лист1!A178)*(Лист2!$B$2:$B$505=Лист1!B178),Лист2!$D$2:$D$505)</f>
        <v>4967</v>
      </c>
      <c r="G178" cm="1">
        <f t="array" ref="G178">_xlfn.XLOOKUP(1,(Лист2!$A$2:$A$505=Лист1!A178)*(Лист2!$B$2:$B$505=Лист1!B178),Лист2!$E$2:$E$505)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cm="1">
        <f t="array" ref="E179">_xlfn.XLOOKUP(1,(Лист2!$A$2:$A$505=Лист1!A179)*(Лист2!$B$2:$B$505=Лист1!B179),Лист2!$C$2:$C$505)</f>
        <v>124</v>
      </c>
      <c r="F179" cm="1">
        <f t="array" ref="F179">_xlfn.XLOOKUP(1,(Лист2!$A$2:$A$505=Лист1!A179)*(Лист2!$B$2:$B$505=Лист1!B179),Лист2!$D$2:$D$505)</f>
        <v>21392</v>
      </c>
      <c r="G179" cm="1">
        <f t="array" ref="G179">_xlfn.XLOOKUP(1,(Лист2!$A$2:$A$505=Лист1!A179)*(Лист2!$B$2:$B$505=Лист1!B179),Лист2!$E$2:$E$505)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cm="1">
        <f t="array" ref="E180">_xlfn.XLOOKUP(1,(Лист2!$A$2:$A$505=Лист1!A180)*(Лист2!$B$2:$B$505=Лист1!B180),Лист2!$C$2:$C$505)</f>
        <v>36</v>
      </c>
      <c r="F180" cm="1">
        <f t="array" ref="F180">_xlfn.XLOOKUP(1,(Лист2!$A$2:$A$505=Лист1!A180)*(Лист2!$B$2:$B$505=Лист1!B180),Лист2!$D$2:$D$505)</f>
        <v>4751</v>
      </c>
      <c r="G180" cm="1">
        <f t="array" ref="G180">_xlfn.XLOOKUP(1,(Лист2!$A$2:$A$505=Лист1!A180)*(Лист2!$B$2:$B$505=Лист1!B180),Лист2!$E$2:$E$505)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cm="1">
        <f t="array" ref="E181">_xlfn.XLOOKUP(1,(Лист2!$A$2:$A$505=Лист1!A181)*(Лист2!$B$2:$B$505=Лист1!B181),Лист2!$C$2:$C$505)</f>
        <v>124</v>
      </c>
      <c r="F181" cm="1">
        <f t="array" ref="F181">_xlfn.XLOOKUP(1,(Лист2!$A$2:$A$505=Лист1!A181)*(Лист2!$B$2:$B$505=Лист1!B181),Лист2!$D$2:$D$505)</f>
        <v>24325</v>
      </c>
      <c r="G181" cm="1">
        <f t="array" ref="G181">_xlfn.XLOOKUP(1,(Лист2!$A$2:$A$505=Лист1!A181)*(Лист2!$B$2:$B$505=Лист1!B181),Лист2!$E$2:$E$505)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cm="1">
        <f t="array" ref="E182">_xlfn.XLOOKUP(1,(Лист2!$A$2:$A$505=Лист1!A182)*(Лист2!$B$2:$B$505=Лист1!B182),Лист2!$C$2:$C$505)</f>
        <v>36</v>
      </c>
      <c r="F182" cm="1">
        <f t="array" ref="F182">_xlfn.XLOOKUP(1,(Лист2!$A$2:$A$505=Лист1!A182)*(Лист2!$B$2:$B$505=Лист1!B182),Лист2!$D$2:$D$505)</f>
        <v>4384</v>
      </c>
      <c r="G182" cm="1">
        <f t="array" ref="G182">_xlfn.XLOOKUP(1,(Лист2!$A$2:$A$505=Лист1!A182)*(Лист2!$B$2:$B$505=Лист1!B182),Лист2!$E$2:$E$505)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cm="1">
        <f t="array" ref="E183">_xlfn.XLOOKUP(1,(Лист2!$A$2:$A$505=Лист1!A183)*(Лист2!$B$2:$B$505=Лист1!B183),Лист2!$C$2:$C$505)</f>
        <v>36</v>
      </c>
      <c r="F183" cm="1">
        <f t="array" ref="F183">_xlfn.XLOOKUP(1,(Лист2!$A$2:$A$505=Лист1!A183)*(Лист2!$B$2:$B$505=Лист1!B183),Лист2!$D$2:$D$505)</f>
        <v>5651</v>
      </c>
      <c r="G183" cm="1">
        <f t="array" ref="G183">_xlfn.XLOOKUP(1,(Лист2!$A$2:$A$505=Лист1!A183)*(Лист2!$B$2:$B$505=Лист1!B183),Лист2!$E$2:$E$505)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cm="1">
        <f t="array" ref="E184">_xlfn.XLOOKUP(1,(Лист2!$A$2:$A$505=Лист1!A184)*(Лист2!$B$2:$B$505=Лист1!B184),Лист2!$C$2:$C$505)</f>
        <v>124</v>
      </c>
      <c r="F184" cm="1">
        <f t="array" ref="F184">_xlfn.XLOOKUP(1,(Лист2!$A$2:$A$505=Лист1!A184)*(Лист2!$B$2:$B$505=Лист1!B184),Лист2!$D$2:$D$505)</f>
        <v>20868</v>
      </c>
      <c r="G184" cm="1">
        <f t="array" ref="G184">_xlfn.XLOOKUP(1,(Лист2!$A$2:$A$505=Лист1!A184)*(Лист2!$B$2:$B$505=Лист1!B184),Лист2!$E$2:$E$505)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cm="1">
        <f t="array" ref="E185">_xlfn.XLOOKUP(1,(Лист2!$A$2:$A$505=Лист1!A185)*(Лист2!$B$2:$B$505=Лист1!B185),Лист2!$C$2:$C$505)</f>
        <v>36</v>
      </c>
      <c r="F185" cm="1">
        <f t="array" ref="F185">_xlfn.XLOOKUP(1,(Лист2!$A$2:$A$505=Лист1!A185)*(Лист2!$B$2:$B$505=Лист1!B185),Лист2!$D$2:$D$505)</f>
        <v>4641</v>
      </c>
      <c r="G185" cm="1">
        <f t="array" ref="G185">_xlfn.XLOOKUP(1,(Лист2!$A$2:$A$505=Лист1!A185)*(Лист2!$B$2:$B$505=Лист1!B185),Лист2!$E$2:$E$505)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cm="1">
        <f t="array" ref="E186">_xlfn.XLOOKUP(1,(Лист2!$A$2:$A$505=Лист1!A186)*(Лист2!$B$2:$B$505=Лист1!B186),Лист2!$C$2:$C$505)</f>
        <v>36</v>
      </c>
      <c r="F186" cm="1">
        <f t="array" ref="F186">_xlfn.XLOOKUP(1,(Лист2!$A$2:$A$505=Лист1!A186)*(Лист2!$B$2:$B$505=Лист1!B186),Лист2!$D$2:$D$505)</f>
        <v>5143</v>
      </c>
      <c r="G186" cm="1">
        <f t="array" ref="G186">_xlfn.XLOOKUP(1,(Лист2!$A$2:$A$505=Лист1!A186)*(Лист2!$B$2:$B$505=Лист1!B186),Лист2!$E$2:$E$505)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cm="1">
        <f t="array" ref="E187">_xlfn.XLOOKUP(1,(Лист2!$A$2:$A$505=Лист1!A187)*(Лист2!$B$2:$B$505=Лист1!B187),Лист2!$C$2:$C$505)</f>
        <v>36</v>
      </c>
      <c r="F187" cm="1">
        <f t="array" ref="F187">_xlfn.XLOOKUP(1,(Лист2!$A$2:$A$505=Лист1!A187)*(Лист2!$B$2:$B$505=Лист1!B187),Лист2!$D$2:$D$505)</f>
        <v>5746</v>
      </c>
      <c r="G187" cm="1">
        <f t="array" ref="G187">_xlfn.XLOOKUP(1,(Лист2!$A$2:$A$505=Лист1!A187)*(Лист2!$B$2:$B$505=Лист1!B187),Лист2!$E$2:$E$505)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cm="1">
        <f t="array" ref="E188">_xlfn.XLOOKUP(1,(Лист2!$A$2:$A$505=Лист1!A188)*(Лист2!$B$2:$B$505=Лист1!B188),Лист2!$C$2:$C$505)</f>
        <v>36</v>
      </c>
      <c r="F188" cm="1">
        <f t="array" ref="F188">_xlfn.XLOOKUP(1,(Лист2!$A$2:$A$505=Лист1!A188)*(Лист2!$B$2:$B$505=Лист1!B188),Лист2!$D$2:$D$505)</f>
        <v>4199</v>
      </c>
      <c r="G188" cm="1">
        <f t="array" ref="G188">_xlfn.XLOOKUP(1,(Лист2!$A$2:$A$505=Лист1!A188)*(Лист2!$B$2:$B$505=Лист1!B188),Лист2!$E$2:$E$505)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cm="1">
        <f t="array" ref="E189">_xlfn.XLOOKUP(1,(Лист2!$A$2:$A$505=Лист1!A189)*(Лист2!$B$2:$B$505=Лист1!B189),Лист2!$C$2:$C$505)</f>
        <v>36</v>
      </c>
      <c r="F189" cm="1">
        <f t="array" ref="F189">_xlfn.XLOOKUP(1,(Лист2!$A$2:$A$505=Лист1!A189)*(Лист2!$B$2:$B$505=Лист1!B189),Лист2!$D$2:$D$505)</f>
        <v>4826</v>
      </c>
      <c r="G189" cm="1">
        <f t="array" ref="G189">_xlfn.XLOOKUP(1,(Лист2!$A$2:$A$505=Лист1!A189)*(Лист2!$B$2:$B$505=Лист1!B189),Лист2!$E$2:$E$505)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cm="1">
        <f t="array" ref="E190">_xlfn.XLOOKUP(1,(Лист2!$A$2:$A$505=Лист1!A190)*(Лист2!$B$2:$B$505=Лист1!B190),Лист2!$C$2:$C$505)</f>
        <v>36</v>
      </c>
      <c r="F190" cm="1">
        <f t="array" ref="F190">_xlfn.XLOOKUP(1,(Лист2!$A$2:$A$505=Лист1!A190)*(Лист2!$B$2:$B$505=Лист1!B190),Лист2!$D$2:$D$505)</f>
        <v>4915</v>
      </c>
      <c r="G190" cm="1">
        <f t="array" ref="G190">_xlfn.XLOOKUP(1,(Лист2!$A$2:$A$505=Лист1!A190)*(Лист2!$B$2:$B$505=Лист1!B190),Лист2!$E$2:$E$505)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cm="1">
        <f t="array" ref="E191">_xlfn.XLOOKUP(1,(Лист2!$A$2:$A$505=Лист1!A191)*(Лист2!$B$2:$B$505=Лист1!B191),Лист2!$C$2:$C$505)</f>
        <v>21</v>
      </c>
      <c r="F191" cm="1">
        <f t="array" ref="F191">_xlfn.XLOOKUP(1,(Лист2!$A$2:$A$505=Лист1!A191)*(Лист2!$B$2:$B$505=Лист1!B191),Лист2!$D$2:$D$505)</f>
        <v>2427</v>
      </c>
      <c r="G191" cm="1">
        <f t="array" ref="G191">_xlfn.XLOOKUP(1,(Лист2!$A$2:$A$505=Лист1!A191)*(Лист2!$B$2:$B$505=Лист1!B191),Лист2!$E$2:$E$505)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cm="1">
        <f t="array" ref="E192">_xlfn.XLOOKUP(1,(Лист2!$A$2:$A$505=Лист1!A192)*(Лист2!$B$2:$B$505=Лист1!B192),Лист2!$C$2:$C$505)</f>
        <v>21</v>
      </c>
      <c r="F192" cm="1">
        <f t="array" ref="F192">_xlfn.XLOOKUP(1,(Лист2!$A$2:$A$505=Лист1!A192)*(Лист2!$B$2:$B$505=Лист1!B192),Лист2!$D$2:$D$505)</f>
        <v>2245</v>
      </c>
      <c r="G192" cm="1">
        <f t="array" ref="G192">_xlfn.XLOOKUP(1,(Лист2!$A$2:$A$505=Лист1!A192)*(Лист2!$B$2:$B$505=Лист1!B192),Лист2!$E$2:$E$505)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cm="1">
        <f t="array" ref="E193">_xlfn.XLOOKUP(1,(Лист2!$A$2:$A$505=Лист1!A193)*(Лист2!$B$2:$B$505=Лист1!B193),Лист2!$C$2:$C$505)</f>
        <v>21</v>
      </c>
      <c r="F193" cm="1">
        <f t="array" ref="F193">_xlfn.XLOOKUP(1,(Лист2!$A$2:$A$505=Лист1!A193)*(Лист2!$B$2:$B$505=Лист1!B193),Лист2!$D$2:$D$505)</f>
        <v>2054</v>
      </c>
      <c r="G193" cm="1">
        <f t="array" ref="G193">_xlfn.XLOOKUP(1,(Лист2!$A$2:$A$505=Лист1!A193)*(Лист2!$B$2:$B$505=Лист1!B193),Лист2!$E$2:$E$505)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cm="1">
        <f t="array" ref="E194">_xlfn.XLOOKUP(1,(Лист2!$A$2:$A$505=Лист1!A194)*(Лист2!$B$2:$B$505=Лист1!B194),Лист2!$C$2:$C$505)</f>
        <v>21</v>
      </c>
      <c r="F194" cm="1">
        <f t="array" ref="F194">_xlfn.XLOOKUP(1,(Лист2!$A$2:$A$505=Лист1!A194)*(Лист2!$B$2:$B$505=Лист1!B194),Лист2!$D$2:$D$505)</f>
        <v>1891</v>
      </c>
      <c r="G194" cm="1">
        <f t="array" ref="G194">_xlfn.XLOOKUP(1,(Лист2!$A$2:$A$505=Лист1!A194)*(Лист2!$B$2:$B$505=Лист1!B194),Лист2!$E$2:$E$505)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cm="1">
        <f t="array" ref="E195">_xlfn.XLOOKUP(1,(Лист2!$A$2:$A$505=Лист1!A195)*(Лист2!$B$2:$B$505=Лист1!B195),Лист2!$C$2:$C$505)</f>
        <v>20</v>
      </c>
      <c r="F195" cm="1">
        <f t="array" ref="F195">_xlfn.XLOOKUP(1,(Лист2!$A$2:$A$505=Лист1!A195)*(Лист2!$B$2:$B$505=Лист1!B195),Лист2!$D$2:$D$505)</f>
        <v>1804</v>
      </c>
      <c r="G195" cm="1">
        <f t="array" ref="G195">_xlfn.XLOOKUP(1,(Лист2!$A$2:$A$505=Лист1!A195)*(Лист2!$B$2:$B$505=Лист1!B195),Лист2!$E$2:$E$505)</f>
        <v>1638</v>
      </c>
      <c r="H195">
        <f t="shared" ref="H195:H258" si="6">D195/E195</f>
        <v>140892.67499999999</v>
      </c>
      <c r="I195">
        <f t="shared" ref="I195:I258" si="7">WEEKNUM(A195, 2)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cm="1">
        <f t="array" ref="E196">_xlfn.XLOOKUP(1,(Лист2!$A$2:$A$505=Лист1!A196)*(Лист2!$B$2:$B$505=Лист1!B196),Лист2!$C$2:$C$505)</f>
        <v>19</v>
      </c>
      <c r="F196" cm="1">
        <f t="array" ref="F196">_xlfn.XLOOKUP(1,(Лист2!$A$2:$A$505=Лист1!A196)*(Лист2!$B$2:$B$505=Лист1!B196),Лист2!$D$2:$D$505)</f>
        <v>1676</v>
      </c>
      <c r="G196" cm="1">
        <f t="array" ref="G196">_xlfn.XLOOKUP(1,(Лист2!$A$2:$A$505=Лист1!A196)*(Лист2!$B$2:$B$505=Лист1!B196),Лист2!$E$2:$E$505)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cm="1">
        <f t="array" ref="E197">_xlfn.XLOOKUP(1,(Лист2!$A$2:$A$505=Лист1!A197)*(Лист2!$B$2:$B$505=Лист1!B197),Лист2!$C$2:$C$505)</f>
        <v>20</v>
      </c>
      <c r="F197" cm="1">
        <f t="array" ref="F197">_xlfn.XLOOKUP(1,(Лист2!$A$2:$A$505=Лист1!A197)*(Лист2!$B$2:$B$505=Лист1!B197),Лист2!$D$2:$D$505)</f>
        <v>1613</v>
      </c>
      <c r="G197" cm="1">
        <f t="array" ref="G197">_xlfn.XLOOKUP(1,(Лист2!$A$2:$A$505=Лист1!A197)*(Лист2!$B$2:$B$505=Лист1!B197),Лист2!$E$2:$E$505)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cm="1">
        <f t="array" ref="E198">_xlfn.XLOOKUP(1,(Лист2!$A$2:$A$505=Лист1!A198)*(Лист2!$B$2:$B$505=Лист1!B198),Лист2!$C$2:$C$505)</f>
        <v>21</v>
      </c>
      <c r="F198" cm="1">
        <f t="array" ref="F198">_xlfn.XLOOKUP(1,(Лист2!$A$2:$A$505=Лист1!A198)*(Лист2!$B$2:$B$505=Лист1!B198),Лист2!$D$2:$D$505)</f>
        <v>2418</v>
      </c>
      <c r="G198" cm="1">
        <f t="array" ref="G198">_xlfn.XLOOKUP(1,(Лист2!$A$2:$A$505=Лист1!A198)*(Лист2!$B$2:$B$505=Лист1!B198),Лист2!$E$2:$E$505)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cm="1">
        <f t="array" ref="E199">_xlfn.XLOOKUP(1,(Лист2!$A$2:$A$505=Лист1!A199)*(Лист2!$B$2:$B$505=Лист1!B199),Лист2!$C$2:$C$505)</f>
        <v>20</v>
      </c>
      <c r="F199" cm="1">
        <f t="array" ref="F199">_xlfn.XLOOKUP(1,(Лист2!$A$2:$A$505=Лист1!A199)*(Лист2!$B$2:$B$505=Лист1!B199),Лист2!$D$2:$D$505)</f>
        <v>2468</v>
      </c>
      <c r="G199" cm="1">
        <f t="array" ref="G199">_xlfn.XLOOKUP(1,(Лист2!$A$2:$A$505=Лист1!A199)*(Лист2!$B$2:$B$505=Лист1!B199),Лист2!$E$2:$E$505)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cm="1">
        <f t="array" ref="E200">_xlfn.XLOOKUP(1,(Лист2!$A$2:$A$505=Лист1!A200)*(Лист2!$B$2:$B$505=Лист1!B200),Лист2!$C$2:$C$505)</f>
        <v>21</v>
      </c>
      <c r="F200" cm="1">
        <f t="array" ref="F200">_xlfn.XLOOKUP(1,(Лист2!$A$2:$A$505=Лист1!A200)*(Лист2!$B$2:$B$505=Лист1!B200),Лист2!$D$2:$D$505)</f>
        <v>1926</v>
      </c>
      <c r="G200" cm="1">
        <f t="array" ref="G200">_xlfn.XLOOKUP(1,(Лист2!$A$2:$A$505=Лист1!A200)*(Лист2!$B$2:$B$505=Лист1!B200),Лист2!$E$2:$E$505)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cm="1">
        <f t="array" ref="E201">_xlfn.XLOOKUP(1,(Лист2!$A$2:$A$505=Лист1!A201)*(Лист2!$B$2:$B$505=Лист1!B201),Лист2!$C$2:$C$505)</f>
        <v>21</v>
      </c>
      <c r="F201" cm="1">
        <f t="array" ref="F201">_xlfn.XLOOKUP(1,(Лист2!$A$2:$A$505=Лист1!A201)*(Лист2!$B$2:$B$505=Лист1!B201),Лист2!$D$2:$D$505)</f>
        <v>2335</v>
      </c>
      <c r="G201" cm="1">
        <f t="array" ref="G201">_xlfn.XLOOKUP(1,(Лист2!$A$2:$A$505=Лист1!A201)*(Лист2!$B$2:$B$505=Лист1!B201),Лист2!$E$2:$E$505)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cm="1">
        <f t="array" ref="E202">_xlfn.XLOOKUP(1,(Лист2!$A$2:$A$505=Лист1!A202)*(Лист2!$B$2:$B$505=Лист1!B202),Лист2!$C$2:$C$505)</f>
        <v>21</v>
      </c>
      <c r="F202" cm="1">
        <f t="array" ref="F202">_xlfn.XLOOKUP(1,(Лист2!$A$2:$A$505=Лист1!A202)*(Лист2!$B$2:$B$505=Лист1!B202),Лист2!$D$2:$D$505)</f>
        <v>2410</v>
      </c>
      <c r="G202" cm="1">
        <f t="array" ref="G202">_xlfn.XLOOKUP(1,(Лист2!$A$2:$A$505=Лист1!A202)*(Лист2!$B$2:$B$505=Лист1!B202),Лист2!$E$2:$E$505)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cm="1">
        <f t="array" ref="E203">_xlfn.XLOOKUP(1,(Лист2!$A$2:$A$505=Лист1!A203)*(Лист2!$B$2:$B$505=Лист1!B203),Лист2!$C$2:$C$505)</f>
        <v>20</v>
      </c>
      <c r="F203" cm="1">
        <f t="array" ref="F203">_xlfn.XLOOKUP(1,(Лист2!$A$2:$A$505=Лист1!A203)*(Лист2!$B$2:$B$505=Лист1!B203),Лист2!$D$2:$D$505)</f>
        <v>1757</v>
      </c>
      <c r="G203" cm="1">
        <f t="array" ref="G203">_xlfn.XLOOKUP(1,(Лист2!$A$2:$A$505=Лист1!A203)*(Лист2!$B$2:$B$505=Лист1!B203),Лист2!$E$2:$E$505)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cm="1">
        <f t="array" ref="E204">_xlfn.XLOOKUP(1,(Лист2!$A$2:$A$505=Лист1!A204)*(Лист2!$B$2:$B$505=Лист1!B204),Лист2!$C$2:$C$505)</f>
        <v>19</v>
      </c>
      <c r="F204" cm="1">
        <f t="array" ref="F204">_xlfn.XLOOKUP(1,(Лист2!$A$2:$A$505=Лист1!A204)*(Лист2!$B$2:$B$505=Лист1!B204),Лист2!$D$2:$D$505)</f>
        <v>1846</v>
      </c>
      <c r="G204" cm="1">
        <f t="array" ref="G204">_xlfn.XLOOKUP(1,(Лист2!$A$2:$A$505=Лист1!A204)*(Лист2!$B$2:$B$505=Лист1!B204),Лист2!$E$2:$E$505)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cm="1">
        <f t="array" ref="E205">_xlfn.XLOOKUP(1,(Лист2!$A$2:$A$505=Лист1!A205)*(Лист2!$B$2:$B$505=Лист1!B205),Лист2!$C$2:$C$505)</f>
        <v>21</v>
      </c>
      <c r="F205" cm="1">
        <f t="array" ref="F205">_xlfn.XLOOKUP(1,(Лист2!$A$2:$A$505=Лист1!A205)*(Лист2!$B$2:$B$505=Лист1!B205),Лист2!$D$2:$D$505)</f>
        <v>2061</v>
      </c>
      <c r="G205" cm="1">
        <f t="array" ref="G205">_xlfn.XLOOKUP(1,(Лист2!$A$2:$A$505=Лист1!A205)*(Лист2!$B$2:$B$505=Лист1!B205),Лист2!$E$2:$E$505)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cm="1">
        <f t="array" ref="E206">_xlfn.XLOOKUP(1,(Лист2!$A$2:$A$505=Лист1!A206)*(Лист2!$B$2:$B$505=Лист1!B206),Лист2!$C$2:$C$505)</f>
        <v>37</v>
      </c>
      <c r="F206" cm="1">
        <f t="array" ref="F206">_xlfn.XLOOKUP(1,(Лист2!$A$2:$A$505=Лист1!A206)*(Лист2!$B$2:$B$505=Лист1!B206),Лист2!$D$2:$D$505)</f>
        <v>5215</v>
      </c>
      <c r="G206" cm="1">
        <f t="array" ref="G206">_xlfn.XLOOKUP(1,(Лист2!$A$2:$A$505=Лист1!A206)*(Лист2!$B$2:$B$505=Лист1!B206),Лист2!$E$2:$E$505)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cm="1">
        <f t="array" ref="E207">_xlfn.XLOOKUP(1,(Лист2!$A$2:$A$505=Лист1!A207)*(Лист2!$B$2:$B$505=Лист1!B207),Лист2!$C$2:$C$505)</f>
        <v>20</v>
      </c>
      <c r="F207" cm="1">
        <f t="array" ref="F207">_xlfn.XLOOKUP(1,(Лист2!$A$2:$A$505=Лист1!A207)*(Лист2!$B$2:$B$505=Лист1!B207),Лист2!$D$2:$D$505)</f>
        <v>1716</v>
      </c>
      <c r="G207" cm="1">
        <f t="array" ref="G207">_xlfn.XLOOKUP(1,(Лист2!$A$2:$A$505=Лист1!A207)*(Лист2!$B$2:$B$505=Лист1!B207),Лист2!$E$2:$E$505)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cm="1">
        <f t="array" ref="E208">_xlfn.XLOOKUP(1,(Лист2!$A$2:$A$505=Лист1!A208)*(Лист2!$B$2:$B$505=Лист1!B208),Лист2!$C$2:$C$505)</f>
        <v>37</v>
      </c>
      <c r="F208" cm="1">
        <f t="array" ref="F208">_xlfn.XLOOKUP(1,(Лист2!$A$2:$A$505=Лист1!A208)*(Лист2!$B$2:$B$505=Лист1!B208),Лист2!$D$2:$D$505)</f>
        <v>6645</v>
      </c>
      <c r="G208" cm="1">
        <f t="array" ref="G208">_xlfn.XLOOKUP(1,(Лист2!$A$2:$A$505=Лист1!A208)*(Лист2!$B$2:$B$505=Лист1!B208),Лист2!$E$2:$E$505)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cm="1">
        <f t="array" ref="E209">_xlfn.XLOOKUP(1,(Лист2!$A$2:$A$505=Лист1!A209)*(Лист2!$B$2:$B$505=Лист1!B209),Лист2!$C$2:$C$505)</f>
        <v>20</v>
      </c>
      <c r="F209" cm="1">
        <f t="array" ref="F209">_xlfn.XLOOKUP(1,(Лист2!$A$2:$A$505=Лист1!A209)*(Лист2!$B$2:$B$505=Лист1!B209),Лист2!$D$2:$D$505)</f>
        <v>1747</v>
      </c>
      <c r="G209" cm="1">
        <f t="array" ref="G209">_xlfn.XLOOKUP(1,(Лист2!$A$2:$A$505=Лист1!A209)*(Лист2!$B$2:$B$505=Лист1!B209),Лист2!$E$2:$E$505)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cm="1">
        <f t="array" ref="E210">_xlfn.XLOOKUP(1,(Лист2!$A$2:$A$505=Лист1!A210)*(Лист2!$B$2:$B$505=Лист1!B210),Лист2!$C$2:$C$505)</f>
        <v>21</v>
      </c>
      <c r="F210" cm="1">
        <f t="array" ref="F210">_xlfn.XLOOKUP(1,(Лист2!$A$2:$A$505=Лист1!A210)*(Лист2!$B$2:$B$505=Лист1!B210),Лист2!$D$2:$D$505)</f>
        <v>2460</v>
      </c>
      <c r="G210" cm="1">
        <f t="array" ref="G210">_xlfn.XLOOKUP(1,(Лист2!$A$2:$A$505=Лист1!A210)*(Лист2!$B$2:$B$505=Лист1!B210),Лист2!$E$2:$E$505)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cm="1">
        <f t="array" ref="E211">_xlfn.XLOOKUP(1,(Лист2!$A$2:$A$505=Лист1!A211)*(Лист2!$B$2:$B$505=Лист1!B211),Лист2!$C$2:$C$505)</f>
        <v>37</v>
      </c>
      <c r="F211" cm="1">
        <f t="array" ref="F211">_xlfn.XLOOKUP(1,(Лист2!$A$2:$A$505=Лист1!A211)*(Лист2!$B$2:$B$505=Лист1!B211),Лист2!$D$2:$D$505)</f>
        <v>4840</v>
      </c>
      <c r="G211" cm="1">
        <f t="array" ref="G211">_xlfn.XLOOKUP(1,(Лист2!$A$2:$A$505=Лист1!A211)*(Лист2!$B$2:$B$505=Лист1!B211),Лист2!$E$2:$E$505)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cm="1">
        <f t="array" ref="E212">_xlfn.XLOOKUP(1,(Лист2!$A$2:$A$505=Лист1!A212)*(Лист2!$B$2:$B$505=Лист1!B212),Лист2!$C$2:$C$505)</f>
        <v>21</v>
      </c>
      <c r="F212" cm="1">
        <f t="array" ref="F212">_xlfn.XLOOKUP(1,(Лист2!$A$2:$A$505=Лист1!A212)*(Лист2!$B$2:$B$505=Лист1!B212),Лист2!$D$2:$D$505)</f>
        <v>2330</v>
      </c>
      <c r="G212" cm="1">
        <f t="array" ref="G212">_xlfn.XLOOKUP(1,(Лист2!$A$2:$A$505=Лист1!A212)*(Лист2!$B$2:$B$505=Лист1!B212),Лист2!$E$2:$E$505)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cm="1">
        <f t="array" ref="E213">_xlfn.XLOOKUP(1,(Лист2!$A$2:$A$505=Лист1!A213)*(Лист2!$B$2:$B$505=Лист1!B213),Лист2!$C$2:$C$505)</f>
        <v>20</v>
      </c>
      <c r="F213" cm="1">
        <f t="array" ref="F213">_xlfn.XLOOKUP(1,(Лист2!$A$2:$A$505=Лист1!A213)*(Лист2!$B$2:$B$505=Лист1!B213),Лист2!$D$2:$D$505)</f>
        <v>1756</v>
      </c>
      <c r="G213" cm="1">
        <f t="array" ref="G213">_xlfn.XLOOKUP(1,(Лист2!$A$2:$A$505=Лист1!A213)*(Лист2!$B$2:$B$505=Лист1!B213),Лист2!$E$2:$E$505)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cm="1">
        <f t="array" ref="E214">_xlfn.XLOOKUP(1,(Лист2!$A$2:$A$505=Лист1!A214)*(Лист2!$B$2:$B$505=Лист1!B214),Лист2!$C$2:$C$505)</f>
        <v>21</v>
      </c>
      <c r="F214" cm="1">
        <f t="array" ref="F214">_xlfn.XLOOKUP(1,(Лист2!$A$2:$A$505=Лист1!A214)*(Лист2!$B$2:$B$505=Лист1!B214),Лист2!$D$2:$D$505)</f>
        <v>2120</v>
      </c>
      <c r="G214" cm="1">
        <f t="array" ref="G214">_xlfn.XLOOKUP(1,(Лист2!$A$2:$A$505=Лист1!A214)*(Лист2!$B$2:$B$505=Лист1!B214),Лист2!$E$2:$E$505)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cm="1">
        <f t="array" ref="E215">_xlfn.XLOOKUP(1,(Лист2!$A$2:$A$505=Лист1!A215)*(Лист2!$B$2:$B$505=Лист1!B215),Лист2!$C$2:$C$505)</f>
        <v>21</v>
      </c>
      <c r="F215" cm="1">
        <f t="array" ref="F215">_xlfn.XLOOKUP(1,(Лист2!$A$2:$A$505=Лист1!A215)*(Лист2!$B$2:$B$505=Лист1!B215),Лист2!$D$2:$D$505)</f>
        <v>1957</v>
      </c>
      <c r="G215" cm="1">
        <f t="array" ref="G215">_xlfn.XLOOKUP(1,(Лист2!$A$2:$A$505=Лист1!A215)*(Лист2!$B$2:$B$505=Лист1!B215),Лист2!$E$2:$E$505)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cm="1">
        <f t="array" ref="E216">_xlfn.XLOOKUP(1,(Лист2!$A$2:$A$505=Лист1!A216)*(Лист2!$B$2:$B$505=Лист1!B216),Лист2!$C$2:$C$505)</f>
        <v>21</v>
      </c>
      <c r="F216" cm="1">
        <f t="array" ref="F216">_xlfn.XLOOKUP(1,(Лист2!$A$2:$A$505=Лист1!A216)*(Лист2!$B$2:$B$505=Лист1!B216),Лист2!$D$2:$D$505)</f>
        <v>1879</v>
      </c>
      <c r="G216" cm="1">
        <f t="array" ref="G216">_xlfn.XLOOKUP(1,(Лист2!$A$2:$A$505=Лист1!A216)*(Лист2!$B$2:$B$505=Лист1!B216),Лист2!$E$2:$E$505)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cm="1">
        <f t="array" ref="E217">_xlfn.XLOOKUP(1,(Лист2!$A$2:$A$505=Лист1!A217)*(Лист2!$B$2:$B$505=Лист1!B217),Лист2!$C$2:$C$505)</f>
        <v>21</v>
      </c>
      <c r="F217" cm="1">
        <f t="array" ref="F217">_xlfn.XLOOKUP(1,(Лист2!$A$2:$A$505=Лист1!A217)*(Лист2!$B$2:$B$505=Лист1!B217),Лист2!$D$2:$D$505)</f>
        <v>2254</v>
      </c>
      <c r="G217" cm="1">
        <f t="array" ref="G217">_xlfn.XLOOKUP(1,(Лист2!$A$2:$A$505=Лист1!A217)*(Лист2!$B$2:$B$505=Лист1!B217),Лист2!$E$2:$E$505)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cm="1">
        <f t="array" ref="E218">_xlfn.XLOOKUP(1,(Лист2!$A$2:$A$505=Лист1!A218)*(Лист2!$B$2:$B$505=Лист1!B218),Лист2!$C$2:$C$505)</f>
        <v>23</v>
      </c>
      <c r="F218" cm="1">
        <f t="array" ref="F218">_xlfn.XLOOKUP(1,(Лист2!$A$2:$A$505=Лист1!A218)*(Лист2!$B$2:$B$505=Лист1!B218),Лист2!$D$2:$D$505)</f>
        <v>2522</v>
      </c>
      <c r="G218" cm="1">
        <f t="array" ref="G218">_xlfn.XLOOKUP(1,(Лист2!$A$2:$A$505=Лист1!A218)*(Лист2!$B$2:$B$505=Лист1!B218),Лист2!$E$2:$E$505)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cm="1">
        <f t="array" ref="E219">_xlfn.XLOOKUP(1,(Лист2!$A$2:$A$505=Лист1!A219)*(Лист2!$B$2:$B$505=Лист1!B219),Лист2!$C$2:$C$505)</f>
        <v>22</v>
      </c>
      <c r="F219" cm="1">
        <f t="array" ref="F219">_xlfn.XLOOKUP(1,(Лист2!$A$2:$A$505=Лист1!A219)*(Лист2!$B$2:$B$505=Лист1!B219),Лист2!$D$2:$D$505)</f>
        <v>2793</v>
      </c>
      <c r="G219" cm="1">
        <f t="array" ref="G219">_xlfn.XLOOKUP(1,(Лист2!$A$2:$A$505=Лист1!A219)*(Лист2!$B$2:$B$505=Лист1!B219),Лист2!$E$2:$E$505)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cm="1">
        <f t="array" ref="E220">_xlfn.XLOOKUP(1,(Лист2!$A$2:$A$505=Лист1!A220)*(Лист2!$B$2:$B$505=Лист1!B220),Лист2!$C$2:$C$505)</f>
        <v>22</v>
      </c>
      <c r="F220" cm="1">
        <f t="array" ref="F220">_xlfn.XLOOKUP(1,(Лист2!$A$2:$A$505=Лист1!A220)*(Лист2!$B$2:$B$505=Лист1!B220),Лист2!$D$2:$D$505)</f>
        <v>2454</v>
      </c>
      <c r="G220" cm="1">
        <f t="array" ref="G220">_xlfn.XLOOKUP(1,(Лист2!$A$2:$A$505=Лист1!A220)*(Лист2!$B$2:$B$505=Лист1!B220),Лист2!$E$2:$E$505)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cm="1">
        <f t="array" ref="E221">_xlfn.XLOOKUP(1,(Лист2!$A$2:$A$505=Лист1!A221)*(Лист2!$B$2:$B$505=Лист1!B221),Лист2!$C$2:$C$505)</f>
        <v>15</v>
      </c>
      <c r="F221" cm="1">
        <f t="array" ref="F221">_xlfn.XLOOKUP(1,(Лист2!$A$2:$A$505=Лист1!A221)*(Лист2!$B$2:$B$505=Лист1!B221),Лист2!$D$2:$D$505)</f>
        <v>1111</v>
      </c>
      <c r="G221" cm="1">
        <f t="array" ref="G221">_xlfn.XLOOKUP(1,(Лист2!$A$2:$A$505=Лист1!A221)*(Лист2!$B$2:$B$505=Лист1!B221),Лист2!$E$2:$E$505)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cm="1">
        <f t="array" ref="E222">_xlfn.XLOOKUP(1,(Лист2!$A$2:$A$505=Лист1!A222)*(Лист2!$B$2:$B$505=Лист1!B222),Лист2!$C$2:$C$505)</f>
        <v>16</v>
      </c>
      <c r="F222" cm="1">
        <f t="array" ref="F222">_xlfn.XLOOKUP(1,(Лист2!$A$2:$A$505=Лист1!A222)*(Лист2!$B$2:$B$505=Лист1!B222),Лист2!$D$2:$D$505)</f>
        <v>1012</v>
      </c>
      <c r="G222" cm="1">
        <f t="array" ref="G222">_xlfn.XLOOKUP(1,(Лист2!$A$2:$A$505=Лист1!A222)*(Лист2!$B$2:$B$505=Лист1!B222),Лист2!$E$2:$E$505)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cm="1">
        <f t="array" ref="E223">_xlfn.XLOOKUP(1,(Лист2!$A$2:$A$505=Лист1!A223)*(Лист2!$B$2:$B$505=Лист1!B223),Лист2!$C$2:$C$505)</f>
        <v>15</v>
      </c>
      <c r="F223" cm="1">
        <f t="array" ref="F223">_xlfn.XLOOKUP(1,(Лист2!$A$2:$A$505=Лист1!A223)*(Лист2!$B$2:$B$505=Лист1!B223),Лист2!$D$2:$D$505)</f>
        <v>971</v>
      </c>
      <c r="G223" cm="1">
        <f t="array" ref="G223">_xlfn.XLOOKUP(1,(Лист2!$A$2:$A$505=Лист1!A223)*(Лист2!$B$2:$B$505=Лист1!B223),Лист2!$E$2:$E$505)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cm="1">
        <f t="array" ref="E224">_xlfn.XLOOKUP(1,(Лист2!$A$2:$A$505=Лист1!A224)*(Лист2!$B$2:$B$505=Лист1!B224),Лист2!$C$2:$C$505)</f>
        <v>15</v>
      </c>
      <c r="F224" cm="1">
        <f t="array" ref="F224">_xlfn.XLOOKUP(1,(Лист2!$A$2:$A$505=Лист1!A224)*(Лист2!$B$2:$B$505=Лист1!B224),Лист2!$D$2:$D$505)</f>
        <v>849</v>
      </c>
      <c r="G224" cm="1">
        <f t="array" ref="G224">_xlfn.XLOOKUP(1,(Лист2!$A$2:$A$505=Лист1!A224)*(Лист2!$B$2:$B$505=Лист1!B224),Лист2!$E$2:$E$505)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cm="1">
        <f t="array" ref="E225">_xlfn.XLOOKUP(1,(Лист2!$A$2:$A$505=Лист1!A225)*(Лист2!$B$2:$B$505=Лист1!B225),Лист2!$C$2:$C$505)</f>
        <v>15</v>
      </c>
      <c r="F225" cm="1">
        <f t="array" ref="F225">_xlfn.XLOOKUP(1,(Лист2!$A$2:$A$505=Лист1!A225)*(Лист2!$B$2:$B$505=Лист1!B225),Лист2!$D$2:$D$505)</f>
        <v>750</v>
      </c>
      <c r="G225" cm="1">
        <f t="array" ref="G225">_xlfn.XLOOKUP(1,(Лист2!$A$2:$A$505=Лист1!A225)*(Лист2!$B$2:$B$505=Лист1!B225),Лист2!$E$2:$E$505)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cm="1">
        <f t="array" ref="E226">_xlfn.XLOOKUP(1,(Лист2!$A$2:$A$505=Лист1!A226)*(Лист2!$B$2:$B$505=Лист1!B226),Лист2!$C$2:$C$505)</f>
        <v>15</v>
      </c>
      <c r="F226" cm="1">
        <f t="array" ref="F226">_xlfn.XLOOKUP(1,(Лист2!$A$2:$A$505=Лист1!A226)*(Лист2!$B$2:$B$505=Лист1!B226),Лист2!$D$2:$D$505)</f>
        <v>786</v>
      </c>
      <c r="G226" cm="1">
        <f t="array" ref="G226">_xlfn.XLOOKUP(1,(Лист2!$A$2:$A$505=Лист1!A226)*(Лист2!$B$2:$B$505=Лист1!B226),Лист2!$E$2:$E$505)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cm="1">
        <f t="array" ref="E227">_xlfn.XLOOKUP(1,(Лист2!$A$2:$A$505=Лист1!A227)*(Лист2!$B$2:$B$505=Лист1!B227),Лист2!$C$2:$C$505)</f>
        <v>15</v>
      </c>
      <c r="F227" cm="1">
        <f t="array" ref="F227">_xlfn.XLOOKUP(1,(Лист2!$A$2:$A$505=Лист1!A227)*(Лист2!$B$2:$B$505=Лист1!B227),Лист2!$D$2:$D$505)</f>
        <v>751</v>
      </c>
      <c r="G227" cm="1">
        <f t="array" ref="G227">_xlfn.XLOOKUP(1,(Лист2!$A$2:$A$505=Лист1!A227)*(Лист2!$B$2:$B$505=Лист1!B227),Лист2!$E$2:$E$505)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cm="1">
        <f t="array" ref="E228">_xlfn.XLOOKUP(1,(Лист2!$A$2:$A$505=Лист1!A228)*(Лист2!$B$2:$B$505=Лист1!B228),Лист2!$C$2:$C$505)</f>
        <v>17</v>
      </c>
      <c r="F228" cm="1">
        <f t="array" ref="F228">_xlfn.XLOOKUP(1,(Лист2!$A$2:$A$505=Лист1!A228)*(Лист2!$B$2:$B$505=Лист1!B228),Лист2!$D$2:$D$505)</f>
        <v>1140</v>
      </c>
      <c r="G228" cm="1">
        <f t="array" ref="G228">_xlfn.XLOOKUP(1,(Лист2!$A$2:$A$505=Лист1!A228)*(Лист2!$B$2:$B$505=Лист1!B228),Лист2!$E$2:$E$505)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cm="1">
        <f t="array" ref="E229">_xlfn.XLOOKUP(1,(Лист2!$A$2:$A$505=Лист1!A229)*(Лист2!$B$2:$B$505=Лист1!B229),Лист2!$C$2:$C$505)</f>
        <v>15</v>
      </c>
      <c r="F229" cm="1">
        <f t="array" ref="F229">_xlfn.XLOOKUP(1,(Лист2!$A$2:$A$505=Лист1!A229)*(Лист2!$B$2:$B$505=Лист1!B229),Лист2!$D$2:$D$505)</f>
        <v>996</v>
      </c>
      <c r="G229" cm="1">
        <f t="array" ref="G229">_xlfn.XLOOKUP(1,(Лист2!$A$2:$A$505=Лист1!A229)*(Лист2!$B$2:$B$505=Лист1!B229),Лист2!$E$2:$E$505)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cm="1">
        <f t="array" ref="E230">_xlfn.XLOOKUP(1,(Лист2!$A$2:$A$505=Лист1!A230)*(Лист2!$B$2:$B$505=Лист1!B230),Лист2!$C$2:$C$505)</f>
        <v>15</v>
      </c>
      <c r="F230" cm="1">
        <f t="array" ref="F230">_xlfn.XLOOKUP(1,(Лист2!$A$2:$A$505=Лист1!A230)*(Лист2!$B$2:$B$505=Лист1!B230),Лист2!$D$2:$D$505)</f>
        <v>845</v>
      </c>
      <c r="G230" cm="1">
        <f t="array" ref="G230">_xlfn.XLOOKUP(1,(Лист2!$A$2:$A$505=Лист1!A230)*(Лист2!$B$2:$B$505=Лист1!B230),Лист2!$E$2:$E$505)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cm="1">
        <f t="array" ref="E231">_xlfn.XLOOKUP(1,(Лист2!$A$2:$A$505=Лист1!A231)*(Лист2!$B$2:$B$505=Лист1!B231),Лист2!$C$2:$C$505)</f>
        <v>17</v>
      </c>
      <c r="F231" cm="1">
        <f t="array" ref="F231">_xlfn.XLOOKUP(1,(Лист2!$A$2:$A$505=Лист1!A231)*(Лист2!$B$2:$B$505=Лист1!B231),Лист2!$D$2:$D$505)</f>
        <v>1045</v>
      </c>
      <c r="G231" cm="1">
        <f t="array" ref="G231">_xlfn.XLOOKUP(1,(Лист2!$A$2:$A$505=Лист1!A231)*(Лист2!$B$2:$B$505=Лист1!B231),Лист2!$E$2:$E$505)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cm="1">
        <f t="array" ref="E232">_xlfn.XLOOKUP(1,(Лист2!$A$2:$A$505=Лист1!A232)*(Лист2!$B$2:$B$505=Лист1!B232),Лист2!$C$2:$C$505)</f>
        <v>16</v>
      </c>
      <c r="F232" cm="1">
        <f t="array" ref="F232">_xlfn.XLOOKUP(1,(Лист2!$A$2:$A$505=Лист1!A232)*(Лист2!$B$2:$B$505=Лист1!B232),Лист2!$D$2:$D$505)</f>
        <v>1050</v>
      </c>
      <c r="G232" cm="1">
        <f t="array" ref="G232">_xlfn.XLOOKUP(1,(Лист2!$A$2:$A$505=Лист1!A232)*(Лист2!$B$2:$B$505=Лист1!B232),Лист2!$E$2:$E$505)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cm="1">
        <f t="array" ref="E233">_xlfn.XLOOKUP(1,(Лист2!$A$2:$A$505=Лист1!A233)*(Лист2!$B$2:$B$505=Лист1!B233),Лист2!$C$2:$C$505)</f>
        <v>15</v>
      </c>
      <c r="F233" cm="1">
        <f t="array" ref="F233">_xlfn.XLOOKUP(1,(Лист2!$A$2:$A$505=Лист1!A233)*(Лист2!$B$2:$B$505=Лист1!B233),Лист2!$D$2:$D$505)</f>
        <v>922</v>
      </c>
      <c r="G233" cm="1">
        <f t="array" ref="G233">_xlfn.XLOOKUP(1,(Лист2!$A$2:$A$505=Лист1!A233)*(Лист2!$B$2:$B$505=Лист1!B233),Лист2!$E$2:$E$505)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cm="1">
        <f t="array" ref="E234">_xlfn.XLOOKUP(1,(Лист2!$A$2:$A$505=Лист1!A234)*(Лист2!$B$2:$B$505=Лист1!B234),Лист2!$C$2:$C$505)</f>
        <v>15</v>
      </c>
      <c r="F234" cm="1">
        <f t="array" ref="F234">_xlfn.XLOOKUP(1,(Лист2!$A$2:$A$505=Лист1!A234)*(Лист2!$B$2:$B$505=Лист1!B234),Лист2!$D$2:$D$505)</f>
        <v>780</v>
      </c>
      <c r="G234" cm="1">
        <f t="array" ref="G234">_xlfn.XLOOKUP(1,(Лист2!$A$2:$A$505=Лист1!A234)*(Лист2!$B$2:$B$505=Лист1!B234),Лист2!$E$2:$E$505)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cm="1">
        <f t="array" ref="E235">_xlfn.XLOOKUP(1,(Лист2!$A$2:$A$505=Лист1!A235)*(Лист2!$B$2:$B$505=Лист1!B235),Лист2!$C$2:$C$505)</f>
        <v>15</v>
      </c>
      <c r="F235" cm="1">
        <f t="array" ref="F235">_xlfn.XLOOKUP(1,(Лист2!$A$2:$A$505=Лист1!A235)*(Лист2!$B$2:$B$505=Лист1!B235),Лист2!$D$2:$D$505)</f>
        <v>898</v>
      </c>
      <c r="G235" cm="1">
        <f t="array" ref="G235">_xlfn.XLOOKUP(1,(Лист2!$A$2:$A$505=Лист1!A235)*(Лист2!$B$2:$B$505=Лист1!B235),Лист2!$E$2:$E$505)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cm="1">
        <f t="array" ref="E236">_xlfn.XLOOKUP(1,(Лист2!$A$2:$A$505=Лист1!A236)*(Лист2!$B$2:$B$505=Лист1!B236),Лист2!$C$2:$C$505)</f>
        <v>15</v>
      </c>
      <c r="F236" cm="1">
        <f t="array" ref="F236">_xlfn.XLOOKUP(1,(Лист2!$A$2:$A$505=Лист1!A236)*(Лист2!$B$2:$B$505=Лист1!B236),Лист2!$D$2:$D$505)</f>
        <v>784</v>
      </c>
      <c r="G236" cm="1">
        <f t="array" ref="G236">_xlfn.XLOOKUP(1,(Лист2!$A$2:$A$505=Лист1!A236)*(Лист2!$B$2:$B$505=Лист1!B236),Лист2!$E$2:$E$505)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cm="1">
        <f t="array" ref="E237">_xlfn.XLOOKUP(1,(Лист2!$A$2:$A$505=Лист1!A237)*(Лист2!$B$2:$B$505=Лист1!B237),Лист2!$C$2:$C$505)</f>
        <v>15</v>
      </c>
      <c r="F237" cm="1">
        <f t="array" ref="F237">_xlfn.XLOOKUP(1,(Лист2!$A$2:$A$505=Лист1!A237)*(Лист2!$B$2:$B$505=Лист1!B237),Лист2!$D$2:$D$505)</f>
        <v>839</v>
      </c>
      <c r="G237" cm="1">
        <f t="array" ref="G237">_xlfn.XLOOKUP(1,(Лист2!$A$2:$A$505=Лист1!A237)*(Лист2!$B$2:$B$505=Лист1!B237),Лист2!$E$2:$E$505)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cm="1">
        <f t="array" ref="E238">_xlfn.XLOOKUP(1,(Лист2!$A$2:$A$505=Лист1!A238)*(Лист2!$B$2:$B$505=Лист1!B238),Лист2!$C$2:$C$505)</f>
        <v>17</v>
      </c>
      <c r="F238" cm="1">
        <f t="array" ref="F238">_xlfn.XLOOKUP(1,(Лист2!$A$2:$A$505=Лист1!A238)*(Лист2!$B$2:$B$505=Лист1!B238),Лист2!$D$2:$D$505)</f>
        <v>1294</v>
      </c>
      <c r="G238" cm="1">
        <f t="array" ref="G238">_xlfn.XLOOKUP(1,(Лист2!$A$2:$A$505=Лист1!A238)*(Лист2!$B$2:$B$505=Лист1!B238),Лист2!$E$2:$E$505)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cm="1">
        <f t="array" ref="E239">_xlfn.XLOOKUP(1,(Лист2!$A$2:$A$505=Лист1!A239)*(Лист2!$B$2:$B$505=Лист1!B239),Лист2!$C$2:$C$505)</f>
        <v>17</v>
      </c>
      <c r="F239" cm="1">
        <f t="array" ref="F239">_xlfn.XLOOKUP(1,(Лист2!$A$2:$A$505=Лист1!A239)*(Лист2!$B$2:$B$505=Лист1!B239),Лист2!$D$2:$D$505)</f>
        <v>1142</v>
      </c>
      <c r="G239" cm="1">
        <f t="array" ref="G239">_xlfn.XLOOKUP(1,(Лист2!$A$2:$A$505=Лист1!A239)*(Лист2!$B$2:$B$505=Лист1!B239),Лист2!$E$2:$E$505)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cm="1">
        <f t="array" ref="E240">_xlfn.XLOOKUP(1,(Лист2!$A$2:$A$505=Лист1!A240)*(Лист2!$B$2:$B$505=Лист1!B240),Лист2!$C$2:$C$505)</f>
        <v>15</v>
      </c>
      <c r="F240" cm="1">
        <f t="array" ref="F240">_xlfn.XLOOKUP(1,(Лист2!$A$2:$A$505=Лист1!A240)*(Лист2!$B$2:$B$505=Лист1!B240),Лист2!$D$2:$D$505)</f>
        <v>791</v>
      </c>
      <c r="G240" cm="1">
        <f t="array" ref="G240">_xlfn.XLOOKUP(1,(Лист2!$A$2:$A$505=Лист1!A240)*(Лист2!$B$2:$B$505=Лист1!B240),Лист2!$E$2:$E$505)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cm="1">
        <f t="array" ref="E241">_xlfn.XLOOKUP(1,(Лист2!$A$2:$A$505=Лист1!A241)*(Лист2!$B$2:$B$505=Лист1!B241),Лист2!$C$2:$C$505)</f>
        <v>15</v>
      </c>
      <c r="F241" cm="1">
        <f t="array" ref="F241">_xlfn.XLOOKUP(1,(Лист2!$A$2:$A$505=Лист1!A241)*(Лист2!$B$2:$B$505=Лист1!B241),Лист2!$D$2:$D$505)</f>
        <v>950</v>
      </c>
      <c r="G241" cm="1">
        <f t="array" ref="G241">_xlfn.XLOOKUP(1,(Лист2!$A$2:$A$505=Лист1!A241)*(Лист2!$B$2:$B$505=Лист1!B241),Лист2!$E$2:$E$505)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cm="1">
        <f t="array" ref="E242">_xlfn.XLOOKUP(1,(Лист2!$A$2:$A$505=Лист1!A242)*(Лист2!$B$2:$B$505=Лист1!B242),Лист2!$C$2:$C$505)</f>
        <v>15</v>
      </c>
      <c r="F242" cm="1">
        <f t="array" ref="F242">_xlfn.XLOOKUP(1,(Лист2!$A$2:$A$505=Лист1!A242)*(Лист2!$B$2:$B$505=Лист1!B242),Лист2!$D$2:$D$505)</f>
        <v>879</v>
      </c>
      <c r="G242" cm="1">
        <f t="array" ref="G242">_xlfn.XLOOKUP(1,(Лист2!$A$2:$A$505=Лист1!A242)*(Лист2!$B$2:$B$505=Лист1!B242),Лист2!$E$2:$E$505)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cm="1">
        <f t="array" ref="E243">_xlfn.XLOOKUP(1,(Лист2!$A$2:$A$505=Лист1!A243)*(Лист2!$B$2:$B$505=Лист1!B243),Лист2!$C$2:$C$505)</f>
        <v>15</v>
      </c>
      <c r="F243" cm="1">
        <f t="array" ref="F243">_xlfn.XLOOKUP(1,(Лист2!$A$2:$A$505=Лист1!A243)*(Лист2!$B$2:$B$505=Лист1!B243),Лист2!$D$2:$D$505)</f>
        <v>805</v>
      </c>
      <c r="G243" cm="1">
        <f t="array" ref="G243">_xlfn.XLOOKUP(1,(Лист2!$A$2:$A$505=Лист1!A243)*(Лист2!$B$2:$B$505=Лист1!B243),Лист2!$E$2:$E$505)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cm="1">
        <f t="array" ref="E244">_xlfn.XLOOKUP(1,(Лист2!$A$2:$A$505=Лист1!A244)*(Лист2!$B$2:$B$505=Лист1!B244),Лист2!$C$2:$C$505)</f>
        <v>17</v>
      </c>
      <c r="F244" cm="1">
        <f t="array" ref="F244">_xlfn.XLOOKUP(1,(Лист2!$A$2:$A$505=Лист1!A244)*(Лист2!$B$2:$B$505=Лист1!B244),Лист2!$D$2:$D$505)</f>
        <v>1128</v>
      </c>
      <c r="G244" cm="1">
        <f t="array" ref="G244">_xlfn.XLOOKUP(1,(Лист2!$A$2:$A$505=Лист1!A244)*(Лист2!$B$2:$B$505=Лист1!B244),Лист2!$E$2:$E$505)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cm="1">
        <f t="array" ref="E245">_xlfn.XLOOKUP(1,(Лист2!$A$2:$A$505=Лист1!A245)*(Лист2!$B$2:$B$505=Лист1!B245),Лист2!$C$2:$C$505)</f>
        <v>15</v>
      </c>
      <c r="F245" cm="1">
        <f t="array" ref="F245">_xlfn.XLOOKUP(1,(Лист2!$A$2:$A$505=Лист1!A245)*(Лист2!$B$2:$B$505=Лист1!B245),Лист2!$D$2:$D$505)</f>
        <v>747</v>
      </c>
      <c r="G245" cm="1">
        <f t="array" ref="G245">_xlfn.XLOOKUP(1,(Лист2!$A$2:$A$505=Лист1!A245)*(Лист2!$B$2:$B$505=Лист1!B245),Лист2!$E$2:$E$505)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cm="1">
        <f t="array" ref="E246">_xlfn.XLOOKUP(1,(Лист2!$A$2:$A$505=Лист1!A246)*(Лист2!$B$2:$B$505=Лист1!B246),Лист2!$C$2:$C$505)</f>
        <v>15</v>
      </c>
      <c r="F246" cm="1">
        <f t="array" ref="F246">_xlfn.XLOOKUP(1,(Лист2!$A$2:$A$505=Лист1!A246)*(Лист2!$B$2:$B$505=Лист1!B246),Лист2!$D$2:$D$505)</f>
        <v>930</v>
      </c>
      <c r="G246" cm="1">
        <f t="array" ref="G246">_xlfn.XLOOKUP(1,(Лист2!$A$2:$A$505=Лист1!A246)*(Лист2!$B$2:$B$505=Лист1!B246),Лист2!$E$2:$E$505)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cm="1">
        <f t="array" ref="E247">_xlfn.XLOOKUP(1,(Лист2!$A$2:$A$505=Лист1!A247)*(Лист2!$B$2:$B$505=Лист1!B247),Лист2!$C$2:$C$505)</f>
        <v>15</v>
      </c>
      <c r="F247" cm="1">
        <f t="array" ref="F247">_xlfn.XLOOKUP(1,(Лист2!$A$2:$A$505=Лист1!A247)*(Лист2!$B$2:$B$505=Лист1!B247),Лист2!$D$2:$D$505)</f>
        <v>692</v>
      </c>
      <c r="G247" cm="1">
        <f t="array" ref="G247">_xlfn.XLOOKUP(1,(Лист2!$A$2:$A$505=Лист1!A247)*(Лист2!$B$2:$B$505=Лист1!B247),Лист2!$E$2:$E$505)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cm="1">
        <f t="array" ref="E248">_xlfn.XLOOKUP(1,(Лист2!$A$2:$A$505=Лист1!A248)*(Лист2!$B$2:$B$505=Лист1!B248),Лист2!$C$2:$C$505)</f>
        <v>15</v>
      </c>
      <c r="F248" cm="1">
        <f t="array" ref="F248">_xlfn.XLOOKUP(1,(Лист2!$A$2:$A$505=Лист1!A248)*(Лист2!$B$2:$B$505=Лист1!B248),Лист2!$D$2:$D$505)</f>
        <v>623</v>
      </c>
      <c r="G248" cm="1">
        <f t="array" ref="G248">_xlfn.XLOOKUP(1,(Лист2!$A$2:$A$505=Лист1!A248)*(Лист2!$B$2:$B$505=Лист1!B248),Лист2!$E$2:$E$505)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cm="1">
        <f t="array" ref="E249">_xlfn.XLOOKUP(1,(Лист2!$A$2:$A$505=Лист1!A249)*(Лист2!$B$2:$B$505=Лист1!B249),Лист2!$C$2:$C$505)</f>
        <v>15</v>
      </c>
      <c r="F249" cm="1">
        <f t="array" ref="F249">_xlfn.XLOOKUP(1,(Лист2!$A$2:$A$505=Лист1!A249)*(Лист2!$B$2:$B$505=Лист1!B249),Лист2!$D$2:$D$505)</f>
        <v>390</v>
      </c>
      <c r="G249" cm="1">
        <f t="array" ref="G249">_xlfn.XLOOKUP(1,(Лист2!$A$2:$A$505=Лист1!A249)*(Лист2!$B$2:$B$505=Лист1!B249),Лист2!$E$2:$E$505)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cm="1">
        <f t="array" ref="E250">_xlfn.XLOOKUP(1,(Лист2!$A$2:$A$505=Лист1!A250)*(Лист2!$B$2:$B$505=Лист1!B250),Лист2!$C$2:$C$505)</f>
        <v>18</v>
      </c>
      <c r="F250" cm="1">
        <f t="array" ref="F250">_xlfn.XLOOKUP(1,(Лист2!$A$2:$A$505=Лист1!A250)*(Лист2!$B$2:$B$505=Лист1!B250),Лист2!$D$2:$D$505)</f>
        <v>1599</v>
      </c>
      <c r="G250" cm="1">
        <f t="array" ref="G250">_xlfn.XLOOKUP(1,(Лист2!$A$2:$A$505=Лист1!A250)*(Лист2!$B$2:$B$505=Лист1!B250),Лист2!$E$2:$E$505)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cm="1">
        <f t="array" ref="E251">_xlfn.XLOOKUP(1,(Лист2!$A$2:$A$505=Лист1!A251)*(Лист2!$B$2:$B$505=Лист1!B251),Лист2!$C$2:$C$505)</f>
        <v>15</v>
      </c>
      <c r="F251" cm="1">
        <f t="array" ref="F251">_xlfn.XLOOKUP(1,(Лист2!$A$2:$A$505=Лист1!A251)*(Лист2!$B$2:$B$505=Лист1!B251),Лист2!$D$2:$D$505)</f>
        <v>274</v>
      </c>
      <c r="G251" cm="1">
        <f t="array" ref="G251">_xlfn.XLOOKUP(1,(Лист2!$A$2:$A$505=Лист1!A251)*(Лист2!$B$2:$B$505=Лист1!B251),Лист2!$E$2:$E$505)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cm="1">
        <f t="array" ref="E252">_xlfn.XLOOKUP(1,(Лист2!$A$2:$A$505=Лист1!A252)*(Лист2!$B$2:$B$505=Лист1!B252),Лист2!$C$2:$C$505)</f>
        <v>15</v>
      </c>
      <c r="F252" cm="1">
        <f t="array" ref="F252">_xlfn.XLOOKUP(1,(Лист2!$A$2:$A$505=Лист1!A252)*(Лист2!$B$2:$B$505=Лист1!B252),Лист2!$D$2:$D$505)</f>
        <v>812</v>
      </c>
      <c r="G252" cm="1">
        <f t="array" ref="G252">_xlfn.XLOOKUP(1,(Лист2!$A$2:$A$505=Лист1!A252)*(Лист2!$B$2:$B$505=Лист1!B252),Лист2!$E$2:$E$505)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cm="1">
        <f t="array" ref="E253">_xlfn.XLOOKUP(1,(Лист2!$A$2:$A$505=Лист1!A253)*(Лист2!$B$2:$B$505=Лист1!B253),Лист2!$C$2:$C$505)</f>
        <v>15</v>
      </c>
      <c r="F253" cm="1">
        <f t="array" ref="F253">_xlfn.XLOOKUP(1,(Лист2!$A$2:$A$505=Лист1!A253)*(Лист2!$B$2:$B$505=Лист1!B253),Лист2!$D$2:$D$505)</f>
        <v>294</v>
      </c>
      <c r="G253" cm="1">
        <f t="array" ref="G253">_xlfn.XLOOKUP(1,(Лист2!$A$2:$A$505=Лист1!A253)*(Лист2!$B$2:$B$505=Лист1!B253),Лист2!$E$2:$E$505)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cm="1">
        <f t="array" ref="E254">_xlfn.XLOOKUP(1,(Лист2!$A$2:$A$505=Лист1!A254)*(Лист2!$B$2:$B$505=Лист1!B254),Лист2!$C$2:$C$505)</f>
        <v>15</v>
      </c>
      <c r="F254" cm="1">
        <f t="array" ref="F254">_xlfn.XLOOKUP(1,(Лист2!$A$2:$A$505=Лист1!A254)*(Лист2!$B$2:$B$505=Лист1!B254),Лист2!$D$2:$D$505)</f>
        <v>624</v>
      </c>
      <c r="G254" cm="1">
        <f t="array" ref="G254">_xlfn.XLOOKUP(1,(Лист2!$A$2:$A$505=Лист1!A254)*(Лист2!$B$2:$B$505=Лист1!B254),Лист2!$E$2:$E$505)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cm="1">
        <f t="array" ref="E255">_xlfn.XLOOKUP(1,(Лист2!$A$2:$A$505=Лист1!A255)*(Лист2!$B$2:$B$505=Лист1!B255),Лист2!$C$2:$C$505)</f>
        <v>15</v>
      </c>
      <c r="F255" cm="1">
        <f t="array" ref="F255">_xlfn.XLOOKUP(1,(Лист2!$A$2:$A$505=Лист1!A255)*(Лист2!$B$2:$B$505=Лист1!B255),Лист2!$D$2:$D$505)</f>
        <v>749</v>
      </c>
      <c r="G255" cm="1">
        <f t="array" ref="G255">_xlfn.XLOOKUP(1,(Лист2!$A$2:$A$505=Лист1!A255)*(Лист2!$B$2:$B$505=Лист1!B255),Лист2!$E$2:$E$505)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cm="1">
        <f t="array" ref="E256">_xlfn.XLOOKUP(1,(Лист2!$A$2:$A$505=Лист1!A256)*(Лист2!$B$2:$B$505=Лист1!B256),Лист2!$C$2:$C$505)</f>
        <v>15</v>
      </c>
      <c r="F256" cm="1">
        <f t="array" ref="F256">_xlfn.XLOOKUP(1,(Лист2!$A$2:$A$505=Лист1!A256)*(Лист2!$B$2:$B$505=Лист1!B256),Лист2!$D$2:$D$505)</f>
        <v>760</v>
      </c>
      <c r="G256" cm="1">
        <f t="array" ref="G256">_xlfn.XLOOKUP(1,(Лист2!$A$2:$A$505=Лист1!A256)*(Лист2!$B$2:$B$505=Лист1!B256),Лист2!$E$2:$E$505)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cm="1">
        <f t="array" ref="E257">_xlfn.XLOOKUP(1,(Лист2!$A$2:$A$505=Лист1!A257)*(Лист2!$B$2:$B$505=Лист1!B257),Лист2!$C$2:$C$505)</f>
        <v>15</v>
      </c>
      <c r="F257" cm="1">
        <f t="array" ref="F257">_xlfn.XLOOKUP(1,(Лист2!$A$2:$A$505=Лист1!A257)*(Лист2!$B$2:$B$505=Лист1!B257),Лист2!$D$2:$D$505)</f>
        <v>455</v>
      </c>
      <c r="G257" cm="1">
        <f t="array" ref="G257">_xlfn.XLOOKUP(1,(Лист2!$A$2:$A$505=Лист1!A257)*(Лист2!$B$2:$B$505=Лист1!B257),Лист2!$E$2:$E$505)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cm="1">
        <f t="array" ref="E258">_xlfn.XLOOKUP(1,(Лист2!$A$2:$A$505=Лист1!A258)*(Лист2!$B$2:$B$505=Лист1!B258),Лист2!$C$2:$C$505)</f>
        <v>18</v>
      </c>
      <c r="F258" cm="1">
        <f t="array" ref="F258">_xlfn.XLOOKUP(1,(Лист2!$A$2:$A$505=Лист1!A258)*(Лист2!$B$2:$B$505=Лист1!B258),Лист2!$D$2:$D$505)</f>
        <v>1505</v>
      </c>
      <c r="G258" cm="1">
        <f t="array" ref="G258">_xlfn.XLOOKUP(1,(Лист2!$A$2:$A$505=Лист1!A258)*(Лист2!$B$2:$B$505=Лист1!B258),Лист2!$E$2:$E$505)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cm="1">
        <f t="array" ref="E259">_xlfn.XLOOKUP(1,(Лист2!$A$2:$A$505=Лист1!A259)*(Лист2!$B$2:$B$505=Лист1!B259),Лист2!$C$2:$C$505)</f>
        <v>15</v>
      </c>
      <c r="F259" cm="1">
        <f t="array" ref="F259">_xlfn.XLOOKUP(1,(Лист2!$A$2:$A$505=Лист1!A259)*(Лист2!$B$2:$B$505=Лист1!B259),Лист2!$D$2:$D$505)</f>
        <v>599</v>
      </c>
      <c r="G259" cm="1">
        <f t="array" ref="G259">_xlfn.XLOOKUP(1,(Лист2!$A$2:$A$505=Лист1!A259)*(Лист2!$B$2:$B$505=Лист1!B259),Лист2!$E$2:$E$505)</f>
        <v>515</v>
      </c>
      <c r="H259">
        <f t="shared" ref="H259:H322" si="8">D259/E259</f>
        <v>63327.5</v>
      </c>
      <c r="I259">
        <f t="shared" ref="I259:I322" si="9">WEEKNUM(A259, 2)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cm="1">
        <f t="array" ref="E260">_xlfn.XLOOKUP(1,(Лист2!$A$2:$A$505=Лист1!A260)*(Лист2!$B$2:$B$505=Лист1!B260),Лист2!$C$2:$C$505)</f>
        <v>17</v>
      </c>
      <c r="F260" cm="1">
        <f t="array" ref="F260">_xlfn.XLOOKUP(1,(Лист2!$A$2:$A$505=Лист1!A260)*(Лист2!$B$2:$B$505=Лист1!B260),Лист2!$D$2:$D$505)</f>
        <v>1186</v>
      </c>
      <c r="G260" cm="1">
        <f t="array" ref="G260">_xlfn.XLOOKUP(1,(Лист2!$A$2:$A$505=Лист1!A260)*(Лист2!$B$2:$B$505=Лист1!B260),Лист2!$E$2:$E$505)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cm="1">
        <f t="array" ref="E261">_xlfn.XLOOKUP(1,(Лист2!$A$2:$A$505=Лист1!A261)*(Лист2!$B$2:$B$505=Лист1!B261),Лист2!$C$2:$C$505)</f>
        <v>15</v>
      </c>
      <c r="F261" cm="1">
        <f t="array" ref="F261">_xlfn.XLOOKUP(1,(Лист2!$A$2:$A$505=Лист1!A261)*(Лист2!$B$2:$B$505=Лист1!B261),Лист2!$D$2:$D$505)</f>
        <v>455</v>
      </c>
      <c r="G261" cm="1">
        <f t="array" ref="G261">_xlfn.XLOOKUP(1,(Лист2!$A$2:$A$505=Лист1!A261)*(Лист2!$B$2:$B$505=Лист1!B261),Лист2!$E$2:$E$505)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cm="1">
        <f t="array" ref="E262">_xlfn.XLOOKUP(1,(Лист2!$A$2:$A$505=Лист1!A262)*(Лист2!$B$2:$B$505=Лист1!B262),Лист2!$C$2:$C$505)</f>
        <v>17</v>
      </c>
      <c r="F262" cm="1">
        <f t="array" ref="F262">_xlfn.XLOOKUP(1,(Лист2!$A$2:$A$505=Лист1!A262)*(Лист2!$B$2:$B$505=Лист1!B262),Лист2!$D$2:$D$505)</f>
        <v>1697</v>
      </c>
      <c r="G262" cm="1">
        <f t="array" ref="G262">_xlfn.XLOOKUP(1,(Лист2!$A$2:$A$505=Лист1!A262)*(Лист2!$B$2:$B$505=Лист1!B262),Лист2!$E$2:$E$505)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cm="1">
        <f t="array" ref="E263">_xlfn.XLOOKUP(1,(Лист2!$A$2:$A$505=Лист1!A263)*(Лист2!$B$2:$B$505=Лист1!B263),Лист2!$C$2:$C$505)</f>
        <v>15</v>
      </c>
      <c r="F263" cm="1">
        <f t="array" ref="F263">_xlfn.XLOOKUP(1,(Лист2!$A$2:$A$505=Лист1!A263)*(Лист2!$B$2:$B$505=Лист1!B263),Лист2!$D$2:$D$505)</f>
        <v>467</v>
      </c>
      <c r="G263" cm="1">
        <f t="array" ref="G263">_xlfn.XLOOKUP(1,(Лист2!$A$2:$A$505=Лист1!A263)*(Лист2!$B$2:$B$505=Лист1!B263),Лист2!$E$2:$E$505)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cm="1">
        <f t="array" ref="E264">_xlfn.XLOOKUP(1,(Лист2!$A$2:$A$505=Лист1!A264)*(Лист2!$B$2:$B$505=Лист1!B264),Лист2!$C$2:$C$505)</f>
        <v>15</v>
      </c>
      <c r="F264" cm="1">
        <f t="array" ref="F264">_xlfn.XLOOKUP(1,(Лист2!$A$2:$A$505=Лист1!A264)*(Лист2!$B$2:$B$505=Лист1!B264),Лист2!$D$2:$D$505)</f>
        <v>840</v>
      </c>
      <c r="G264" cm="1">
        <f t="array" ref="G264">_xlfn.XLOOKUP(1,(Лист2!$A$2:$A$505=Лист1!A264)*(Лист2!$B$2:$B$505=Лист1!B264),Лист2!$E$2:$E$505)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cm="1">
        <f t="array" ref="E265">_xlfn.XLOOKUP(1,(Лист2!$A$2:$A$505=Лист1!A265)*(Лист2!$B$2:$B$505=Лист1!B265),Лист2!$C$2:$C$505)</f>
        <v>17</v>
      </c>
      <c r="F265" cm="1">
        <f t="array" ref="F265">_xlfn.XLOOKUP(1,(Лист2!$A$2:$A$505=Лист1!A265)*(Лист2!$B$2:$B$505=Лист1!B265),Лист2!$D$2:$D$505)</f>
        <v>1097</v>
      </c>
      <c r="G265" cm="1">
        <f t="array" ref="G265">_xlfn.XLOOKUP(1,(Лист2!$A$2:$A$505=Лист1!A265)*(Лист2!$B$2:$B$505=Лист1!B265),Лист2!$E$2:$E$505)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cm="1">
        <f t="array" ref="E266">_xlfn.XLOOKUP(1,(Лист2!$A$2:$A$505=Лист1!A266)*(Лист2!$B$2:$B$505=Лист1!B266),Лист2!$C$2:$C$505)</f>
        <v>15</v>
      </c>
      <c r="F266" cm="1">
        <f t="array" ref="F266">_xlfn.XLOOKUP(1,(Лист2!$A$2:$A$505=Лист1!A266)*(Лист2!$B$2:$B$505=Лист1!B266),Лист2!$D$2:$D$505)</f>
        <v>835</v>
      </c>
      <c r="G266" cm="1">
        <f t="array" ref="G266">_xlfn.XLOOKUP(1,(Лист2!$A$2:$A$505=Лист1!A266)*(Лист2!$B$2:$B$505=Лист1!B266),Лист2!$E$2:$E$505)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cm="1">
        <f t="array" ref="E267">_xlfn.XLOOKUP(1,(Лист2!$A$2:$A$505=Лист1!A267)*(Лист2!$B$2:$B$505=Лист1!B267),Лист2!$C$2:$C$505)</f>
        <v>15</v>
      </c>
      <c r="F267" cm="1">
        <f t="array" ref="F267">_xlfn.XLOOKUP(1,(Лист2!$A$2:$A$505=Лист1!A267)*(Лист2!$B$2:$B$505=Лист1!B267),Лист2!$D$2:$D$505)</f>
        <v>262</v>
      </c>
      <c r="G267" cm="1">
        <f t="array" ref="G267">_xlfn.XLOOKUP(1,(Лист2!$A$2:$A$505=Лист1!A267)*(Лист2!$B$2:$B$505=Лист1!B267),Лист2!$E$2:$E$505)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cm="1">
        <f t="array" ref="E268">_xlfn.XLOOKUP(1,(Лист2!$A$2:$A$505=Лист1!A268)*(Лист2!$B$2:$B$505=Лист1!B268),Лист2!$C$2:$C$505)</f>
        <v>15</v>
      </c>
      <c r="F268" cm="1">
        <f t="array" ref="F268">_xlfn.XLOOKUP(1,(Лист2!$A$2:$A$505=Лист1!A268)*(Лист2!$B$2:$B$505=Лист1!B268),Лист2!$D$2:$D$505)</f>
        <v>706</v>
      </c>
      <c r="G268" cm="1">
        <f t="array" ref="G268">_xlfn.XLOOKUP(1,(Лист2!$A$2:$A$505=Лист1!A268)*(Лист2!$B$2:$B$505=Лист1!B268),Лист2!$E$2:$E$505)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cm="1">
        <f t="array" ref="E269">_xlfn.XLOOKUP(1,(Лист2!$A$2:$A$505=Лист1!A269)*(Лист2!$B$2:$B$505=Лист1!B269),Лист2!$C$2:$C$505)</f>
        <v>15</v>
      </c>
      <c r="F269" cm="1">
        <f t="array" ref="F269">_xlfn.XLOOKUP(1,(Лист2!$A$2:$A$505=Лист1!A269)*(Лист2!$B$2:$B$505=Лист1!B269),Лист2!$D$2:$D$505)</f>
        <v>492</v>
      </c>
      <c r="G269" cm="1">
        <f t="array" ref="G269">_xlfn.XLOOKUP(1,(Лист2!$A$2:$A$505=Лист1!A269)*(Лист2!$B$2:$B$505=Лист1!B269),Лист2!$E$2:$E$505)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cm="1">
        <f t="array" ref="E270">_xlfn.XLOOKUP(1,(Лист2!$A$2:$A$505=Лист1!A270)*(Лист2!$B$2:$B$505=Лист1!B270),Лист2!$C$2:$C$505)</f>
        <v>15</v>
      </c>
      <c r="F270" cm="1">
        <f t="array" ref="F270">_xlfn.XLOOKUP(1,(Лист2!$A$2:$A$505=Лист1!A270)*(Лист2!$B$2:$B$505=Лист1!B270),Лист2!$D$2:$D$505)</f>
        <v>480</v>
      </c>
      <c r="G270" cm="1">
        <f t="array" ref="G270">_xlfn.XLOOKUP(1,(Лист2!$A$2:$A$505=Лист1!A270)*(Лист2!$B$2:$B$505=Лист1!B270),Лист2!$E$2:$E$505)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cm="1">
        <f t="array" ref="E271">_xlfn.XLOOKUP(1,(Лист2!$A$2:$A$505=Лист1!A271)*(Лист2!$B$2:$B$505=Лист1!B271),Лист2!$C$2:$C$505)</f>
        <v>15</v>
      </c>
      <c r="F271" cm="1">
        <f t="array" ref="F271">_xlfn.XLOOKUP(1,(Лист2!$A$2:$A$505=Лист1!A271)*(Лист2!$B$2:$B$505=Лист1!B271),Лист2!$D$2:$D$505)</f>
        <v>779</v>
      </c>
      <c r="G271" cm="1">
        <f t="array" ref="G271">_xlfn.XLOOKUP(1,(Лист2!$A$2:$A$505=Лист1!A271)*(Лист2!$B$2:$B$505=Лист1!B271),Лист2!$E$2:$E$505)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cm="1">
        <f t="array" ref="E272">_xlfn.XLOOKUP(1,(Лист2!$A$2:$A$505=Лист1!A272)*(Лист2!$B$2:$B$505=Лист1!B272),Лист2!$C$2:$C$505)</f>
        <v>19</v>
      </c>
      <c r="F272" cm="1">
        <f t="array" ref="F272">_xlfn.XLOOKUP(1,(Лист2!$A$2:$A$505=Лист1!A272)*(Лист2!$B$2:$B$505=Лист1!B272),Лист2!$D$2:$D$505)</f>
        <v>2039</v>
      </c>
      <c r="G272" cm="1">
        <f t="array" ref="G272">_xlfn.XLOOKUP(1,(Лист2!$A$2:$A$505=Лист1!A272)*(Лист2!$B$2:$B$505=Лист1!B272),Лист2!$E$2:$E$505)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cm="1">
        <f t="array" ref="E273">_xlfn.XLOOKUP(1,(Лист2!$A$2:$A$505=Лист1!A273)*(Лист2!$B$2:$B$505=Лист1!B273),Лист2!$C$2:$C$505)</f>
        <v>19</v>
      </c>
      <c r="F273" cm="1">
        <f t="array" ref="F273">_xlfn.XLOOKUP(1,(Лист2!$A$2:$A$505=Лист1!A273)*(Лист2!$B$2:$B$505=Лист1!B273),Лист2!$D$2:$D$505)</f>
        <v>1831</v>
      </c>
      <c r="G273" cm="1">
        <f t="array" ref="G273">_xlfn.XLOOKUP(1,(Лист2!$A$2:$A$505=Лист1!A273)*(Лист2!$B$2:$B$505=Лист1!B273),Лист2!$E$2:$E$505)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cm="1">
        <f t="array" ref="E274">_xlfn.XLOOKUP(1,(Лист2!$A$2:$A$505=Лист1!A274)*(Лист2!$B$2:$B$505=Лист1!B274),Лист2!$C$2:$C$505)</f>
        <v>19</v>
      </c>
      <c r="F274" cm="1">
        <f t="array" ref="F274">_xlfn.XLOOKUP(1,(Лист2!$A$2:$A$505=Лист1!A274)*(Лист2!$B$2:$B$505=Лист1!B274),Лист2!$D$2:$D$505)</f>
        <v>1790</v>
      </c>
      <c r="G274" cm="1">
        <f t="array" ref="G274">_xlfn.XLOOKUP(1,(Лист2!$A$2:$A$505=Лист1!A274)*(Лист2!$B$2:$B$505=Лист1!B274),Лист2!$E$2:$E$505)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cm="1">
        <f t="array" ref="E275">_xlfn.XLOOKUP(1,(Лист2!$A$2:$A$505=Лист1!A275)*(Лист2!$B$2:$B$505=Лист1!B275),Лист2!$C$2:$C$505)</f>
        <v>19</v>
      </c>
      <c r="F275" cm="1">
        <f t="array" ref="F275">_xlfn.XLOOKUP(1,(Лист2!$A$2:$A$505=Лист1!A275)*(Лист2!$B$2:$B$505=Лист1!B275),Лист2!$D$2:$D$505)</f>
        <v>1542</v>
      </c>
      <c r="G275" cm="1">
        <f t="array" ref="G275">_xlfn.XLOOKUP(1,(Лист2!$A$2:$A$505=Лист1!A275)*(Лист2!$B$2:$B$505=Лист1!B275),Лист2!$E$2:$E$505)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cm="1">
        <f t="array" ref="E276">_xlfn.XLOOKUP(1,(Лист2!$A$2:$A$505=Лист1!A276)*(Лист2!$B$2:$B$505=Лист1!B276),Лист2!$C$2:$C$505)</f>
        <v>19</v>
      </c>
      <c r="F276" cm="1">
        <f t="array" ref="F276">_xlfn.XLOOKUP(1,(Лист2!$A$2:$A$505=Лист1!A276)*(Лист2!$B$2:$B$505=Лист1!B276),Лист2!$D$2:$D$505)</f>
        <v>1479</v>
      </c>
      <c r="G276" cm="1">
        <f t="array" ref="G276">_xlfn.XLOOKUP(1,(Лист2!$A$2:$A$505=Лист1!A276)*(Лист2!$B$2:$B$505=Лист1!B276),Лист2!$E$2:$E$505)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cm="1">
        <f t="array" ref="E277">_xlfn.XLOOKUP(1,(Лист2!$A$2:$A$505=Лист1!A277)*(Лист2!$B$2:$B$505=Лист1!B277),Лист2!$C$2:$C$505)</f>
        <v>19</v>
      </c>
      <c r="F277" cm="1">
        <f t="array" ref="F277">_xlfn.XLOOKUP(1,(Лист2!$A$2:$A$505=Лист1!A277)*(Лист2!$B$2:$B$505=Лист1!B277),Лист2!$D$2:$D$505)</f>
        <v>1206</v>
      </c>
      <c r="G277" cm="1">
        <f t="array" ref="G277">_xlfn.XLOOKUP(1,(Лист2!$A$2:$A$505=Лист1!A277)*(Лист2!$B$2:$B$505=Лист1!B277),Лист2!$E$2:$E$505)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cm="1">
        <f t="array" ref="E278">_xlfn.XLOOKUP(1,(Лист2!$A$2:$A$505=Лист1!A278)*(Лист2!$B$2:$B$505=Лист1!B278),Лист2!$C$2:$C$505)</f>
        <v>20</v>
      </c>
      <c r="F278" cm="1">
        <f t="array" ref="F278">_xlfn.XLOOKUP(1,(Лист2!$A$2:$A$505=Лист1!A278)*(Лист2!$B$2:$B$505=Лист1!B278),Лист2!$D$2:$D$505)</f>
        <v>1814</v>
      </c>
      <c r="G278" cm="1">
        <f t="array" ref="G278">_xlfn.XLOOKUP(1,(Лист2!$A$2:$A$505=Лист1!A278)*(Лист2!$B$2:$B$505=Лист1!B278),Лист2!$E$2:$E$505)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cm="1">
        <f t="array" ref="E279">_xlfn.XLOOKUP(1,(Лист2!$A$2:$A$505=Лист1!A279)*(Лист2!$B$2:$B$505=Лист1!B279),Лист2!$C$2:$C$505)</f>
        <v>19</v>
      </c>
      <c r="F279" cm="1">
        <f t="array" ref="F279">_xlfn.XLOOKUP(1,(Лист2!$A$2:$A$505=Лист1!A279)*(Лист2!$B$2:$B$505=Лист1!B279),Лист2!$D$2:$D$505)</f>
        <v>1987</v>
      </c>
      <c r="G279" cm="1">
        <f t="array" ref="G279">_xlfn.XLOOKUP(1,(Лист2!$A$2:$A$505=Лист1!A279)*(Лист2!$B$2:$B$505=Лист1!B279),Лист2!$E$2:$E$505)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cm="1">
        <f t="array" ref="E280">_xlfn.XLOOKUP(1,(Лист2!$A$2:$A$505=Лист1!A280)*(Лист2!$B$2:$B$505=Лист1!B280),Лист2!$C$2:$C$505)</f>
        <v>19</v>
      </c>
      <c r="F280" cm="1">
        <f t="array" ref="F280">_xlfn.XLOOKUP(1,(Лист2!$A$2:$A$505=Лист1!A280)*(Лист2!$B$2:$B$505=Лист1!B280),Лист2!$D$2:$D$505)</f>
        <v>1598</v>
      </c>
      <c r="G280" cm="1">
        <f t="array" ref="G280">_xlfn.XLOOKUP(1,(Лист2!$A$2:$A$505=Лист1!A280)*(Лист2!$B$2:$B$505=Лист1!B280),Лист2!$E$2:$E$505)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cm="1">
        <f t="array" ref="E281">_xlfn.XLOOKUP(1,(Лист2!$A$2:$A$505=Лист1!A281)*(Лист2!$B$2:$B$505=Лист1!B281),Лист2!$C$2:$C$505)</f>
        <v>19</v>
      </c>
      <c r="F281" cm="1">
        <f t="array" ref="F281">_xlfn.XLOOKUP(1,(Лист2!$A$2:$A$505=Лист1!A281)*(Лист2!$B$2:$B$505=Лист1!B281),Лист2!$D$2:$D$505)</f>
        <v>1650</v>
      </c>
      <c r="G281" cm="1">
        <f t="array" ref="G281">_xlfn.XLOOKUP(1,(Лист2!$A$2:$A$505=Лист1!A281)*(Лист2!$B$2:$B$505=Лист1!B281),Лист2!$E$2:$E$505)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cm="1">
        <f t="array" ref="E282">_xlfn.XLOOKUP(1,(Лист2!$A$2:$A$505=Лист1!A282)*(Лист2!$B$2:$B$505=Лист1!B282),Лист2!$C$2:$C$505)</f>
        <v>19</v>
      </c>
      <c r="F282" cm="1">
        <f t="array" ref="F282">_xlfn.XLOOKUP(1,(Лист2!$A$2:$A$505=Лист1!A282)*(Лист2!$B$2:$B$505=Лист1!B282),Лист2!$D$2:$D$505)</f>
        <v>1823</v>
      </c>
      <c r="G282" cm="1">
        <f t="array" ref="G282">_xlfn.XLOOKUP(1,(Лист2!$A$2:$A$505=Лист1!A282)*(Лист2!$B$2:$B$505=Лист1!B282),Лист2!$E$2:$E$505)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cm="1">
        <f t="array" ref="E283">_xlfn.XLOOKUP(1,(Лист2!$A$2:$A$505=Лист1!A283)*(Лист2!$B$2:$B$505=Лист1!B283),Лист2!$C$2:$C$505)</f>
        <v>19</v>
      </c>
      <c r="F283" cm="1">
        <f t="array" ref="F283">_xlfn.XLOOKUP(1,(Лист2!$A$2:$A$505=Лист1!A283)*(Лист2!$B$2:$B$505=Лист1!B283),Лист2!$D$2:$D$505)</f>
        <v>1622</v>
      </c>
      <c r="G283" cm="1">
        <f t="array" ref="G283">_xlfn.XLOOKUP(1,(Лист2!$A$2:$A$505=Лист1!A283)*(Лист2!$B$2:$B$505=Лист1!B283),Лист2!$E$2:$E$505)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cm="1">
        <f t="array" ref="E284">_xlfn.XLOOKUP(1,(Лист2!$A$2:$A$505=Лист1!A284)*(Лист2!$B$2:$B$505=Лист1!B284),Лист2!$C$2:$C$505)</f>
        <v>19</v>
      </c>
      <c r="F284" cm="1">
        <f t="array" ref="F284">_xlfn.XLOOKUP(1,(Лист2!$A$2:$A$505=Лист1!A284)*(Лист2!$B$2:$B$505=Лист1!B284),Лист2!$D$2:$D$505)</f>
        <v>1605</v>
      </c>
      <c r="G284" cm="1">
        <f t="array" ref="G284">_xlfn.XLOOKUP(1,(Лист2!$A$2:$A$505=Лист1!A284)*(Лист2!$B$2:$B$505=Лист1!B284),Лист2!$E$2:$E$505)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cm="1">
        <f t="array" ref="E285">_xlfn.XLOOKUP(1,(Лист2!$A$2:$A$505=Лист1!A285)*(Лист2!$B$2:$B$505=Лист1!B285),Лист2!$C$2:$C$505)</f>
        <v>16</v>
      </c>
      <c r="F285" cm="1">
        <f t="array" ref="F285">_xlfn.XLOOKUP(1,(Лист2!$A$2:$A$505=Лист1!A285)*(Лист2!$B$2:$B$505=Лист1!B285),Лист2!$D$2:$D$505)</f>
        <v>917</v>
      </c>
      <c r="G285" cm="1">
        <f t="array" ref="G285">_xlfn.XLOOKUP(1,(Лист2!$A$2:$A$505=Лист1!A285)*(Лист2!$B$2:$B$505=Лист1!B285),Лист2!$E$2:$E$505)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cm="1">
        <f t="array" ref="E286">_xlfn.XLOOKUP(1,(Лист2!$A$2:$A$505=Лист1!A286)*(Лист2!$B$2:$B$505=Лист1!B286),Лист2!$C$2:$C$505)</f>
        <v>19</v>
      </c>
      <c r="F286" cm="1">
        <f t="array" ref="F286">_xlfn.XLOOKUP(1,(Лист2!$A$2:$A$505=Лист1!A286)*(Лист2!$B$2:$B$505=Лист1!B286),Лист2!$D$2:$D$505)</f>
        <v>1314</v>
      </c>
      <c r="G286" cm="1">
        <f t="array" ref="G286">_xlfn.XLOOKUP(1,(Лист2!$A$2:$A$505=Лист1!A286)*(Лист2!$B$2:$B$505=Лист1!B286),Лист2!$E$2:$E$505)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cm="1">
        <f t="array" ref="E287">_xlfn.XLOOKUP(1,(Лист2!$A$2:$A$505=Лист1!A287)*(Лист2!$B$2:$B$505=Лист1!B287),Лист2!$C$2:$C$505)</f>
        <v>16</v>
      </c>
      <c r="F287" cm="1">
        <f t="array" ref="F287">_xlfn.XLOOKUP(1,(Лист2!$A$2:$A$505=Лист1!A287)*(Лист2!$B$2:$B$505=Лист1!B287),Лист2!$D$2:$D$505)</f>
        <v>1048</v>
      </c>
      <c r="G287" cm="1">
        <f t="array" ref="G287">_xlfn.XLOOKUP(1,(Лист2!$A$2:$A$505=Лист1!A287)*(Лист2!$B$2:$B$505=Лист1!B287),Лист2!$E$2:$E$505)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cm="1">
        <f t="array" ref="E288">_xlfn.XLOOKUP(1,(Лист2!$A$2:$A$505=Лист1!A288)*(Лист2!$B$2:$B$505=Лист1!B288),Лист2!$C$2:$C$505)</f>
        <v>19</v>
      </c>
      <c r="F288" cm="1">
        <f t="array" ref="F288">_xlfn.XLOOKUP(1,(Лист2!$A$2:$A$505=Лист1!A288)*(Лист2!$B$2:$B$505=Лист1!B288),Лист2!$D$2:$D$505)</f>
        <v>1509</v>
      </c>
      <c r="G288" cm="1">
        <f t="array" ref="G288">_xlfn.XLOOKUP(1,(Лист2!$A$2:$A$505=Лист1!A288)*(Лист2!$B$2:$B$505=Лист1!B288),Лист2!$E$2:$E$505)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cm="1">
        <f t="array" ref="E289">_xlfn.XLOOKUP(1,(Лист2!$A$2:$A$505=Лист1!A289)*(Лист2!$B$2:$B$505=Лист1!B289),Лист2!$C$2:$C$505)</f>
        <v>19</v>
      </c>
      <c r="F289" cm="1">
        <f t="array" ref="F289">_xlfn.XLOOKUP(1,(Лист2!$A$2:$A$505=Лист1!A289)*(Лист2!$B$2:$B$505=Лист1!B289),Лист2!$D$2:$D$505)</f>
        <v>2195</v>
      </c>
      <c r="G289" cm="1">
        <f t="array" ref="G289">_xlfn.XLOOKUP(1,(Лист2!$A$2:$A$505=Лист1!A289)*(Лист2!$B$2:$B$505=Лист1!B289),Лист2!$E$2:$E$505)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cm="1">
        <f t="array" ref="E290">_xlfn.XLOOKUP(1,(Лист2!$A$2:$A$505=Лист1!A290)*(Лист2!$B$2:$B$505=Лист1!B290),Лист2!$C$2:$C$505)</f>
        <v>16</v>
      </c>
      <c r="F290" cm="1">
        <f t="array" ref="F290">_xlfn.XLOOKUP(1,(Лист2!$A$2:$A$505=Лист1!A290)*(Лист2!$B$2:$B$505=Лист1!B290),Лист2!$D$2:$D$505)</f>
        <v>876</v>
      </c>
      <c r="G290" cm="1">
        <f t="array" ref="G290">_xlfn.XLOOKUP(1,(Лист2!$A$2:$A$505=Лист1!A290)*(Лист2!$B$2:$B$505=Лист1!B290),Лист2!$E$2:$E$505)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cm="1">
        <f t="array" ref="E291">_xlfn.XLOOKUP(1,(Лист2!$A$2:$A$505=Лист1!A291)*(Лист2!$B$2:$B$505=Лист1!B291),Лист2!$C$2:$C$505)</f>
        <v>20</v>
      </c>
      <c r="F291" cm="1">
        <f t="array" ref="F291">_xlfn.XLOOKUP(1,(Лист2!$A$2:$A$505=Лист1!A291)*(Лист2!$B$2:$B$505=Лист1!B291),Лист2!$D$2:$D$505)</f>
        <v>1899</v>
      </c>
      <c r="G291" cm="1">
        <f t="array" ref="G291">_xlfn.XLOOKUP(1,(Лист2!$A$2:$A$505=Лист1!A291)*(Лист2!$B$2:$B$505=Лист1!B291),Лист2!$E$2:$E$505)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cm="1">
        <f t="array" ref="E292">_xlfn.XLOOKUP(1,(Лист2!$A$2:$A$505=Лист1!A292)*(Лист2!$B$2:$B$505=Лист1!B292),Лист2!$C$2:$C$505)</f>
        <v>19</v>
      </c>
      <c r="F292" cm="1">
        <f t="array" ref="F292">_xlfn.XLOOKUP(1,(Лист2!$A$2:$A$505=Лист1!A292)*(Лист2!$B$2:$B$505=Лист1!B292),Лист2!$D$2:$D$505)</f>
        <v>1662</v>
      </c>
      <c r="G292" cm="1">
        <f t="array" ref="G292">_xlfn.XLOOKUP(1,(Лист2!$A$2:$A$505=Лист1!A292)*(Лист2!$B$2:$B$505=Лист1!B292),Лист2!$E$2:$E$505)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cm="1">
        <f t="array" ref="E293">_xlfn.XLOOKUP(1,(Лист2!$A$2:$A$505=Лист1!A293)*(Лист2!$B$2:$B$505=Лист1!B293),Лист2!$C$2:$C$505)</f>
        <v>19</v>
      </c>
      <c r="F293" cm="1">
        <f t="array" ref="F293">_xlfn.XLOOKUP(1,(Лист2!$A$2:$A$505=Лист1!A293)*(Лист2!$B$2:$B$505=Лист1!B293),Лист2!$D$2:$D$505)</f>
        <v>1836</v>
      </c>
      <c r="G293" cm="1">
        <f t="array" ref="G293">_xlfn.XLOOKUP(1,(Лист2!$A$2:$A$505=Лист1!A293)*(Лист2!$B$2:$B$505=Лист1!B293),Лист2!$E$2:$E$505)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cm="1">
        <f t="array" ref="E294">_xlfn.XLOOKUP(1,(Лист2!$A$2:$A$505=Лист1!A294)*(Лист2!$B$2:$B$505=Лист1!B294),Лист2!$C$2:$C$505)</f>
        <v>19</v>
      </c>
      <c r="F294" cm="1">
        <f t="array" ref="F294">_xlfn.XLOOKUP(1,(Лист2!$A$2:$A$505=Лист1!A294)*(Лист2!$B$2:$B$505=Лист1!B294),Лист2!$D$2:$D$505)</f>
        <v>1520</v>
      </c>
      <c r="G294" cm="1">
        <f t="array" ref="G294">_xlfn.XLOOKUP(1,(Лист2!$A$2:$A$505=Лист1!A294)*(Лист2!$B$2:$B$505=Лист1!B294),Лист2!$E$2:$E$505)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cm="1">
        <f t="array" ref="E295">_xlfn.XLOOKUP(1,(Лист2!$A$2:$A$505=Лист1!A295)*(Лист2!$B$2:$B$505=Лист1!B295),Лист2!$C$2:$C$505)</f>
        <v>19</v>
      </c>
      <c r="F295" cm="1">
        <f t="array" ref="F295">_xlfn.XLOOKUP(1,(Лист2!$A$2:$A$505=Лист1!A295)*(Лист2!$B$2:$B$505=Лист1!B295),Лист2!$D$2:$D$505)</f>
        <v>1580</v>
      </c>
      <c r="G295" cm="1">
        <f t="array" ref="G295">_xlfn.XLOOKUP(1,(Лист2!$A$2:$A$505=Лист1!A295)*(Лист2!$B$2:$B$505=Лист1!B295),Лист2!$E$2:$E$505)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cm="1">
        <f t="array" ref="E296">_xlfn.XLOOKUP(1,(Лист2!$A$2:$A$505=Лист1!A296)*(Лист2!$B$2:$B$505=Лист1!B296),Лист2!$C$2:$C$505)</f>
        <v>19</v>
      </c>
      <c r="F296" cm="1">
        <f t="array" ref="F296">_xlfn.XLOOKUP(1,(Лист2!$A$2:$A$505=Лист1!A296)*(Лист2!$B$2:$B$505=Лист1!B296),Лист2!$D$2:$D$505)</f>
        <v>1868</v>
      </c>
      <c r="G296" cm="1">
        <f t="array" ref="G296">_xlfn.XLOOKUP(1,(Лист2!$A$2:$A$505=Лист1!A296)*(Лист2!$B$2:$B$505=Лист1!B296),Лист2!$E$2:$E$505)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cm="1">
        <f t="array" ref="E297">_xlfn.XLOOKUP(1,(Лист2!$A$2:$A$505=Лист1!A297)*(Лист2!$B$2:$B$505=Лист1!B297),Лист2!$C$2:$C$505)</f>
        <v>59</v>
      </c>
      <c r="F297" cm="1">
        <f t="array" ref="F297">_xlfn.XLOOKUP(1,(Лист2!$A$2:$A$505=Лист1!A297)*(Лист2!$B$2:$B$505=Лист1!B297),Лист2!$D$2:$D$505)</f>
        <v>13186</v>
      </c>
      <c r="G297" cm="1">
        <f t="array" ref="G297">_xlfn.XLOOKUP(1,(Лист2!$A$2:$A$505=Лист1!A297)*(Лист2!$B$2:$B$505=Лист1!B297),Лист2!$E$2:$E$505)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cm="1">
        <f t="array" ref="E298">_xlfn.XLOOKUP(1,(Лист2!$A$2:$A$505=Лист1!A298)*(Лист2!$B$2:$B$505=Лист1!B298),Лист2!$C$2:$C$505)</f>
        <v>59</v>
      </c>
      <c r="F298" cm="1">
        <f t="array" ref="F298">_xlfn.XLOOKUP(1,(Лист2!$A$2:$A$505=Лист1!A298)*(Лист2!$B$2:$B$505=Лист1!B298),Лист2!$D$2:$D$505)</f>
        <v>12943</v>
      </c>
      <c r="G298" cm="1">
        <f t="array" ref="G298">_xlfn.XLOOKUP(1,(Лист2!$A$2:$A$505=Лист1!A298)*(Лист2!$B$2:$B$505=Лист1!B298),Лист2!$E$2:$E$505)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cm="1">
        <f t="array" ref="E299">_xlfn.XLOOKUP(1,(Лист2!$A$2:$A$505=Лист1!A299)*(Лист2!$B$2:$B$505=Лист1!B299),Лист2!$C$2:$C$505)</f>
        <v>21</v>
      </c>
      <c r="F299" cm="1">
        <f t="array" ref="F299">_xlfn.XLOOKUP(1,(Лист2!$A$2:$A$505=Лист1!A299)*(Лист2!$B$2:$B$505=Лист1!B299),Лист2!$D$2:$D$505)</f>
        <v>2056</v>
      </c>
      <c r="G299" cm="1">
        <f t="array" ref="G299">_xlfn.XLOOKUP(1,(Лист2!$A$2:$A$505=Лист1!A299)*(Лист2!$B$2:$B$505=Лист1!B299),Лист2!$E$2:$E$505)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cm="1">
        <f t="array" ref="E300">_xlfn.XLOOKUP(1,(Лист2!$A$2:$A$505=Лист1!A300)*(Лист2!$B$2:$B$505=Лист1!B300),Лист2!$C$2:$C$505)</f>
        <v>20</v>
      </c>
      <c r="F300" cm="1">
        <f t="array" ref="F300">_xlfn.XLOOKUP(1,(Лист2!$A$2:$A$505=Лист1!A300)*(Лист2!$B$2:$B$505=Лист1!B300),Лист2!$D$2:$D$505)</f>
        <v>2174</v>
      </c>
      <c r="G300" cm="1">
        <f t="array" ref="G300">_xlfn.XLOOKUP(1,(Лист2!$A$2:$A$505=Лист1!A300)*(Лист2!$B$2:$B$505=Лист1!B300),Лист2!$E$2:$E$505)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cm="1">
        <f t="array" ref="E301">_xlfn.XLOOKUP(1,(Лист2!$A$2:$A$505=Лист1!A301)*(Лист2!$B$2:$B$505=Лист1!B301),Лист2!$C$2:$C$505)</f>
        <v>20</v>
      </c>
      <c r="F301" cm="1">
        <f t="array" ref="F301">_xlfn.XLOOKUP(1,(Лист2!$A$2:$A$505=Лист1!A301)*(Лист2!$B$2:$B$505=Лист1!B301),Лист2!$D$2:$D$505)</f>
        <v>1875</v>
      </c>
      <c r="G301" cm="1">
        <f t="array" ref="G301">_xlfn.XLOOKUP(1,(Лист2!$A$2:$A$505=Лист1!A301)*(Лист2!$B$2:$B$505=Лист1!B301),Лист2!$E$2:$E$505)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cm="1">
        <f t="array" ref="E302">_xlfn.XLOOKUP(1,(Лист2!$A$2:$A$505=Лист1!A302)*(Лист2!$B$2:$B$505=Лист1!B302),Лист2!$C$2:$C$505)</f>
        <v>60</v>
      </c>
      <c r="F302" cm="1">
        <f t="array" ref="F302">_xlfn.XLOOKUP(1,(Лист2!$A$2:$A$505=Лист1!A302)*(Лист2!$B$2:$B$505=Лист1!B302),Лист2!$D$2:$D$505)</f>
        <v>14049</v>
      </c>
      <c r="G302" cm="1">
        <f t="array" ref="G302">_xlfn.XLOOKUP(1,(Лист2!$A$2:$A$505=Лист1!A302)*(Лист2!$B$2:$B$505=Лист1!B302),Лист2!$E$2:$E$505)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cm="1">
        <f t="array" ref="E303">_xlfn.XLOOKUP(1,(Лист2!$A$2:$A$505=Лист1!A303)*(Лист2!$B$2:$B$505=Лист1!B303),Лист2!$C$2:$C$505)</f>
        <v>60</v>
      </c>
      <c r="F303" cm="1">
        <f t="array" ref="F303">_xlfn.XLOOKUP(1,(Лист2!$A$2:$A$505=Лист1!A303)*(Лист2!$B$2:$B$505=Лист1!B303),Лист2!$D$2:$D$505)</f>
        <v>13867</v>
      </c>
      <c r="G303" cm="1">
        <f t="array" ref="G303">_xlfn.XLOOKUP(1,(Лист2!$A$2:$A$505=Лист1!A303)*(Лист2!$B$2:$B$505=Лист1!B303),Лист2!$E$2:$E$505)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cm="1">
        <f t="array" ref="E304">_xlfn.XLOOKUP(1,(Лист2!$A$2:$A$505=Лист1!A304)*(Лист2!$B$2:$B$505=Лист1!B304),Лист2!$C$2:$C$505)</f>
        <v>60</v>
      </c>
      <c r="F304" cm="1">
        <f t="array" ref="F304">_xlfn.XLOOKUP(1,(Лист2!$A$2:$A$505=Лист1!A304)*(Лист2!$B$2:$B$505=Лист1!B304),Лист2!$D$2:$D$505)</f>
        <v>11698</v>
      </c>
      <c r="G304" cm="1">
        <f t="array" ref="G304">_xlfn.XLOOKUP(1,(Лист2!$A$2:$A$505=Лист1!A304)*(Лист2!$B$2:$B$505=Лист1!B304),Лист2!$E$2:$E$505)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cm="1">
        <f t="array" ref="E305">_xlfn.XLOOKUP(1,(Лист2!$A$2:$A$505=Лист1!A305)*(Лист2!$B$2:$B$505=Лист1!B305),Лист2!$C$2:$C$505)</f>
        <v>59</v>
      </c>
      <c r="F305" cm="1">
        <f t="array" ref="F305">_xlfn.XLOOKUP(1,(Лист2!$A$2:$A$505=Лист1!A305)*(Лист2!$B$2:$B$505=Лист1!B305),Лист2!$D$2:$D$505)</f>
        <v>12016</v>
      </c>
      <c r="G305" cm="1">
        <f t="array" ref="G305">_xlfn.XLOOKUP(1,(Лист2!$A$2:$A$505=Лист1!A305)*(Лист2!$B$2:$B$505=Лист1!B305),Лист2!$E$2:$E$505)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cm="1">
        <f t="array" ref="E306">_xlfn.XLOOKUP(1,(Лист2!$A$2:$A$505=Лист1!A306)*(Лист2!$B$2:$B$505=Лист1!B306),Лист2!$C$2:$C$505)</f>
        <v>59</v>
      </c>
      <c r="F306" cm="1">
        <f t="array" ref="F306">_xlfn.XLOOKUP(1,(Лист2!$A$2:$A$505=Лист1!A306)*(Лист2!$B$2:$B$505=Лист1!B306),Лист2!$D$2:$D$505)</f>
        <v>14423</v>
      </c>
      <c r="G306" cm="1">
        <f t="array" ref="G306">_xlfn.XLOOKUP(1,(Лист2!$A$2:$A$505=Лист1!A306)*(Лист2!$B$2:$B$505=Лист1!B306),Лист2!$E$2:$E$505)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cm="1">
        <f t="array" ref="E307">_xlfn.XLOOKUP(1,(Лист2!$A$2:$A$505=Лист1!A307)*(Лист2!$B$2:$B$505=Лист1!B307),Лист2!$C$2:$C$505)</f>
        <v>54</v>
      </c>
      <c r="F307" cm="1">
        <f t="array" ref="F307">_xlfn.XLOOKUP(1,(Лист2!$A$2:$A$505=Лист1!A307)*(Лист2!$B$2:$B$505=Лист1!B307),Лист2!$D$2:$D$505)</f>
        <v>12747</v>
      </c>
      <c r="G307" cm="1">
        <f t="array" ref="G307">_xlfn.XLOOKUP(1,(Лист2!$A$2:$A$505=Лист1!A307)*(Лист2!$B$2:$B$505=Лист1!B307),Лист2!$E$2:$E$505)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cm="1">
        <f t="array" ref="E308">_xlfn.XLOOKUP(1,(Лист2!$A$2:$A$505=Лист1!A308)*(Лист2!$B$2:$B$505=Лист1!B308),Лист2!$C$2:$C$505)</f>
        <v>59</v>
      </c>
      <c r="F308" cm="1">
        <f t="array" ref="F308">_xlfn.XLOOKUP(1,(Лист2!$A$2:$A$505=Лист1!A308)*(Лист2!$B$2:$B$505=Лист1!B308),Лист2!$D$2:$D$505)</f>
        <v>12429</v>
      </c>
      <c r="G308" cm="1">
        <f t="array" ref="G308">_xlfn.XLOOKUP(1,(Лист2!$A$2:$A$505=Лист1!A308)*(Лист2!$B$2:$B$505=Лист1!B308),Лист2!$E$2:$E$505)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cm="1">
        <f t="array" ref="E309">_xlfn.XLOOKUP(1,(Лист2!$A$2:$A$505=Лист1!A309)*(Лист2!$B$2:$B$505=Лист1!B309),Лист2!$C$2:$C$505)</f>
        <v>59</v>
      </c>
      <c r="F309" cm="1">
        <f t="array" ref="F309">_xlfn.XLOOKUP(1,(Лист2!$A$2:$A$505=Лист1!A309)*(Лист2!$B$2:$B$505=Лист1!B309),Лист2!$D$2:$D$505)</f>
        <v>15369</v>
      </c>
      <c r="G309" cm="1">
        <f t="array" ref="G309">_xlfn.XLOOKUP(1,(Лист2!$A$2:$A$505=Лист1!A309)*(Лист2!$B$2:$B$505=Лист1!B309),Лист2!$E$2:$E$505)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cm="1">
        <f t="array" ref="E310">_xlfn.XLOOKUP(1,(Лист2!$A$2:$A$505=Лист1!A310)*(Лист2!$B$2:$B$505=Лист1!B310),Лист2!$C$2:$C$505)</f>
        <v>59</v>
      </c>
      <c r="F310" cm="1">
        <f t="array" ref="F310">_xlfn.XLOOKUP(1,(Лист2!$A$2:$A$505=Лист1!A310)*(Лист2!$B$2:$B$505=Лист1!B310),Лист2!$D$2:$D$505)</f>
        <v>15222</v>
      </c>
      <c r="G310" cm="1">
        <f t="array" ref="G310">_xlfn.XLOOKUP(1,(Лист2!$A$2:$A$505=Лист1!A310)*(Лист2!$B$2:$B$505=Лист1!B310),Лист2!$E$2:$E$505)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cm="1">
        <f t="array" ref="E311">_xlfn.XLOOKUP(1,(Лист2!$A$2:$A$505=Лист1!A311)*(Лист2!$B$2:$B$505=Лист1!B311),Лист2!$C$2:$C$505)</f>
        <v>60</v>
      </c>
      <c r="F311" cm="1">
        <f t="array" ref="F311">_xlfn.XLOOKUP(1,(Лист2!$A$2:$A$505=Лист1!A311)*(Лист2!$B$2:$B$505=Лист1!B311),Лист2!$D$2:$D$505)</f>
        <v>12000</v>
      </c>
      <c r="G311" cm="1">
        <f t="array" ref="G311">_xlfn.XLOOKUP(1,(Лист2!$A$2:$A$505=Лист1!A311)*(Лист2!$B$2:$B$505=Лист1!B311),Лист2!$E$2:$E$505)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cm="1">
        <f t="array" ref="E312">_xlfn.XLOOKUP(1,(Лист2!$A$2:$A$505=Лист1!A312)*(Лист2!$B$2:$B$505=Лист1!B312),Лист2!$C$2:$C$505)</f>
        <v>60</v>
      </c>
      <c r="F312" cm="1">
        <f t="array" ref="F312">_xlfn.XLOOKUP(1,(Лист2!$A$2:$A$505=Лист1!A312)*(Лист2!$B$2:$B$505=Лист1!B312),Лист2!$D$2:$D$505)</f>
        <v>14005</v>
      </c>
      <c r="G312" cm="1">
        <f t="array" ref="G312">_xlfn.XLOOKUP(1,(Лист2!$A$2:$A$505=Лист1!A312)*(Лист2!$B$2:$B$505=Лист1!B312),Лист2!$E$2:$E$505)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cm="1">
        <f t="array" ref="E313">_xlfn.XLOOKUP(1,(Лист2!$A$2:$A$505=Лист1!A313)*(Лист2!$B$2:$B$505=Лист1!B313),Лист2!$C$2:$C$505)</f>
        <v>60</v>
      </c>
      <c r="F313" cm="1">
        <f t="array" ref="F313">_xlfn.XLOOKUP(1,(Лист2!$A$2:$A$505=Лист1!A313)*(Лист2!$B$2:$B$505=Лист1!B313),Лист2!$D$2:$D$505)</f>
        <v>13792</v>
      </c>
      <c r="G313" cm="1">
        <f t="array" ref="G313">_xlfn.XLOOKUP(1,(Лист2!$A$2:$A$505=Лист1!A313)*(Лист2!$B$2:$B$505=Лист1!B313),Лист2!$E$2:$E$505)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cm="1">
        <f t="array" ref="E314">_xlfn.XLOOKUP(1,(Лист2!$A$2:$A$505=Лист1!A314)*(Лист2!$B$2:$B$505=Лист1!B314),Лист2!$C$2:$C$505)</f>
        <v>59</v>
      </c>
      <c r="F314" cm="1">
        <f t="array" ref="F314">_xlfn.XLOOKUP(1,(Лист2!$A$2:$A$505=Лист1!A314)*(Лист2!$B$2:$B$505=Лист1!B314),Лист2!$D$2:$D$505)</f>
        <v>13469</v>
      </c>
      <c r="G314" cm="1">
        <f t="array" ref="G314">_xlfn.XLOOKUP(1,(Лист2!$A$2:$A$505=Лист1!A314)*(Лист2!$B$2:$B$505=Лист1!B314),Лист2!$E$2:$E$505)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cm="1">
        <f t="array" ref="E315">_xlfn.XLOOKUP(1,(Лист2!$A$2:$A$505=Лист1!A315)*(Лист2!$B$2:$B$505=Лист1!B315),Лист2!$C$2:$C$505)</f>
        <v>54</v>
      </c>
      <c r="F315" cm="1">
        <f t="array" ref="F315">_xlfn.XLOOKUP(1,(Лист2!$A$2:$A$505=Лист1!A315)*(Лист2!$B$2:$B$505=Лист1!B315),Лист2!$D$2:$D$505)</f>
        <v>12306</v>
      </c>
      <c r="G315" cm="1">
        <f t="array" ref="G315">_xlfn.XLOOKUP(1,(Лист2!$A$2:$A$505=Лист1!A315)*(Лист2!$B$2:$B$505=Лист1!B315),Лист2!$E$2:$E$505)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cm="1">
        <f t="array" ref="E316">_xlfn.XLOOKUP(1,(Лист2!$A$2:$A$505=Лист1!A316)*(Лист2!$B$2:$B$505=Лист1!B316),Лист2!$C$2:$C$505)</f>
        <v>60</v>
      </c>
      <c r="F316" cm="1">
        <f t="array" ref="F316">_xlfn.XLOOKUP(1,(Лист2!$A$2:$A$505=Лист1!A316)*(Лист2!$B$2:$B$505=Лист1!B316),Лист2!$D$2:$D$505)</f>
        <v>12007</v>
      </c>
      <c r="G316" cm="1">
        <f t="array" ref="G316">_xlfn.XLOOKUP(1,(Лист2!$A$2:$A$505=Лист1!A316)*(Лист2!$B$2:$B$505=Лист1!B316),Лист2!$E$2:$E$505)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cm="1">
        <f t="array" ref="E317">_xlfn.XLOOKUP(1,(Лист2!$A$2:$A$505=Лист1!A317)*(Лист2!$B$2:$B$505=Лист1!B317),Лист2!$C$2:$C$505)</f>
        <v>59</v>
      </c>
      <c r="F317" cm="1">
        <f t="array" ref="F317">_xlfn.XLOOKUP(1,(Лист2!$A$2:$A$505=Лист1!A317)*(Лист2!$B$2:$B$505=Лист1!B317),Лист2!$D$2:$D$505)</f>
        <v>15277</v>
      </c>
      <c r="G317" cm="1">
        <f t="array" ref="G317">_xlfn.XLOOKUP(1,(Лист2!$A$2:$A$505=Лист1!A317)*(Лист2!$B$2:$B$505=Лист1!B317),Лист2!$E$2:$E$505)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cm="1">
        <f t="array" ref="E318">_xlfn.XLOOKUP(1,(Лист2!$A$2:$A$505=Лист1!A318)*(Лист2!$B$2:$B$505=Лист1!B318),Лист2!$C$2:$C$505)</f>
        <v>59</v>
      </c>
      <c r="F318" cm="1">
        <f t="array" ref="F318">_xlfn.XLOOKUP(1,(Лист2!$A$2:$A$505=Лист1!A318)*(Лист2!$B$2:$B$505=Лист1!B318),Лист2!$D$2:$D$505)</f>
        <v>14103</v>
      </c>
      <c r="G318" cm="1">
        <f t="array" ref="G318">_xlfn.XLOOKUP(1,(Лист2!$A$2:$A$505=Лист1!A318)*(Лист2!$B$2:$B$505=Лист1!B318),Лист2!$E$2:$E$505)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cm="1">
        <f t="array" ref="E319">_xlfn.XLOOKUP(1,(Лист2!$A$2:$A$505=Лист1!A319)*(Лист2!$B$2:$B$505=Лист1!B319),Лист2!$C$2:$C$505)</f>
        <v>60</v>
      </c>
      <c r="F319" cm="1">
        <f t="array" ref="F319">_xlfn.XLOOKUP(1,(Лист2!$A$2:$A$505=Лист1!A319)*(Лист2!$B$2:$B$505=Лист1!B319),Лист2!$D$2:$D$505)</f>
        <v>17295</v>
      </c>
      <c r="G319" cm="1">
        <f t="array" ref="G319">_xlfn.XLOOKUP(1,(Лист2!$A$2:$A$505=Лист1!A319)*(Лист2!$B$2:$B$505=Лист1!B319),Лист2!$E$2:$E$505)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cm="1">
        <f t="array" ref="E320">_xlfn.XLOOKUP(1,(Лист2!$A$2:$A$505=Лист1!A320)*(Лист2!$B$2:$B$505=Лист1!B320),Лист2!$C$2:$C$505)</f>
        <v>59</v>
      </c>
      <c r="F320" cm="1">
        <f t="array" ref="F320">_xlfn.XLOOKUP(1,(Лист2!$A$2:$A$505=Лист1!A320)*(Лист2!$B$2:$B$505=Лист1!B320),Лист2!$D$2:$D$505)</f>
        <v>12983</v>
      </c>
      <c r="G320" cm="1">
        <f t="array" ref="G320">_xlfn.XLOOKUP(1,(Лист2!$A$2:$A$505=Лист1!A320)*(Лист2!$B$2:$B$505=Лист1!B320),Лист2!$E$2:$E$505)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cm="1">
        <f t="array" ref="E321">_xlfn.XLOOKUP(1,(Лист2!$A$2:$A$505=Лист1!A321)*(Лист2!$B$2:$B$505=Лист1!B321),Лист2!$C$2:$C$505)</f>
        <v>59</v>
      </c>
      <c r="F321" cm="1">
        <f t="array" ref="F321">_xlfn.XLOOKUP(1,(Лист2!$A$2:$A$505=Лист1!A321)*(Лист2!$B$2:$B$505=Лист1!B321),Лист2!$D$2:$D$505)</f>
        <v>13251</v>
      </c>
      <c r="G321" cm="1">
        <f t="array" ref="G321">_xlfn.XLOOKUP(1,(Лист2!$A$2:$A$505=Лист1!A321)*(Лист2!$B$2:$B$505=Лист1!B321),Лист2!$E$2:$E$505)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cm="1">
        <f t="array" ref="E322">_xlfn.XLOOKUP(1,(Лист2!$A$2:$A$505=Лист1!A322)*(Лист2!$B$2:$B$505=Лист1!B322),Лист2!$C$2:$C$505)</f>
        <v>59</v>
      </c>
      <c r="F322" cm="1">
        <f t="array" ref="F322">_xlfn.XLOOKUP(1,(Лист2!$A$2:$A$505=Лист1!A322)*(Лист2!$B$2:$B$505=Лист1!B322),Лист2!$D$2:$D$505)</f>
        <v>14569</v>
      </c>
      <c r="G322" cm="1">
        <f t="array" ref="G322">_xlfn.XLOOKUP(1,(Лист2!$A$2:$A$505=Лист1!A322)*(Лист2!$B$2:$B$505=Лист1!B322),Лист2!$E$2:$E$505)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cm="1">
        <f t="array" ref="E323">_xlfn.XLOOKUP(1,(Лист2!$A$2:$A$505=Лист1!A323)*(Лист2!$B$2:$B$505=Лист1!B323),Лист2!$C$2:$C$505)</f>
        <v>59</v>
      </c>
      <c r="F323" cm="1">
        <f t="array" ref="F323">_xlfn.XLOOKUP(1,(Лист2!$A$2:$A$505=Лист1!A323)*(Лист2!$B$2:$B$505=Лист1!B323),Лист2!$D$2:$D$505)</f>
        <v>14098</v>
      </c>
      <c r="G323" cm="1">
        <f t="array" ref="G323">_xlfn.XLOOKUP(1,(Лист2!$A$2:$A$505=Лист1!A323)*(Лист2!$B$2:$B$505=Лист1!B323),Лист2!$E$2:$E$505)</f>
        <v>13106</v>
      </c>
      <c r="H323">
        <f t="shared" ref="H323:H386" si="10">D323/E323</f>
        <v>404778.78813559323</v>
      </c>
      <c r="I323">
        <f t="shared" ref="I323:I386" si="11">WEEKNUM(A323, 2)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cm="1">
        <f t="array" ref="E324">_xlfn.XLOOKUP(1,(Лист2!$A$2:$A$505=Лист1!A324)*(Лист2!$B$2:$B$505=Лист1!B324),Лист2!$C$2:$C$505)</f>
        <v>59</v>
      </c>
      <c r="F324" cm="1">
        <f t="array" ref="F324">_xlfn.XLOOKUP(1,(Лист2!$A$2:$A$505=Лист1!A324)*(Лист2!$B$2:$B$505=Лист1!B324),Лист2!$D$2:$D$505)</f>
        <v>13495</v>
      </c>
      <c r="G324" cm="1">
        <f t="array" ref="G324">_xlfn.XLOOKUP(1,(Лист2!$A$2:$A$505=Лист1!A324)*(Лист2!$B$2:$B$505=Лист1!B324),Лист2!$E$2:$E$505)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cm="1">
        <f t="array" ref="E325">_xlfn.XLOOKUP(1,(Лист2!$A$2:$A$505=Лист1!A325)*(Лист2!$B$2:$B$505=Лист1!B325),Лист2!$C$2:$C$505)</f>
        <v>60</v>
      </c>
      <c r="F325" cm="1">
        <f t="array" ref="F325">_xlfn.XLOOKUP(1,(Лист2!$A$2:$A$505=Лист1!A325)*(Лист2!$B$2:$B$505=Лист1!B325),Лист2!$D$2:$D$505)</f>
        <v>12822</v>
      </c>
      <c r="G325" cm="1">
        <f t="array" ref="G325">_xlfn.XLOOKUP(1,(Лист2!$A$2:$A$505=Лист1!A325)*(Лист2!$B$2:$B$505=Лист1!B325),Лист2!$E$2:$E$505)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cm="1">
        <f t="array" ref="E326">_xlfn.XLOOKUP(1,(Лист2!$A$2:$A$505=Лист1!A326)*(Лист2!$B$2:$B$505=Лист1!B326),Лист2!$C$2:$C$505)</f>
        <v>54</v>
      </c>
      <c r="F326" cm="1">
        <f t="array" ref="F326">_xlfn.XLOOKUP(1,(Лист2!$A$2:$A$505=Лист1!A326)*(Лист2!$B$2:$B$505=Лист1!B326),Лист2!$D$2:$D$505)</f>
        <v>13170</v>
      </c>
      <c r="G326" cm="1">
        <f t="array" ref="G326">_xlfn.XLOOKUP(1,(Лист2!$A$2:$A$505=Лист1!A326)*(Лист2!$B$2:$B$505=Лист1!B326),Лист2!$E$2:$E$505)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cm="1">
        <f t="array" ref="E327">_xlfn.XLOOKUP(1,(Лист2!$A$2:$A$505=Лист1!A327)*(Лист2!$B$2:$B$505=Лист1!B327),Лист2!$C$2:$C$505)</f>
        <v>54</v>
      </c>
      <c r="F327" cm="1">
        <f t="array" ref="F327">_xlfn.XLOOKUP(1,(Лист2!$A$2:$A$505=Лист1!A327)*(Лист2!$B$2:$B$505=Лист1!B327),Лист2!$D$2:$D$505)</f>
        <v>13070</v>
      </c>
      <c r="G327" cm="1">
        <f t="array" ref="G327">_xlfn.XLOOKUP(1,(Лист2!$A$2:$A$505=Лист1!A327)*(Лист2!$B$2:$B$505=Лист1!B327),Лист2!$E$2:$E$505)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cm="1">
        <f t="array" ref="E328">_xlfn.XLOOKUP(1,(Лист2!$A$2:$A$505=Лист1!A328)*(Лист2!$B$2:$B$505=Лист1!B328),Лист2!$C$2:$C$505)</f>
        <v>54</v>
      </c>
      <c r="F328" cm="1">
        <f t="array" ref="F328">_xlfn.XLOOKUP(1,(Лист2!$A$2:$A$505=Лист1!A328)*(Лист2!$B$2:$B$505=Лист1!B328),Лист2!$D$2:$D$505)</f>
        <v>11128</v>
      </c>
      <c r="G328" cm="1">
        <f t="array" ref="G328">_xlfn.XLOOKUP(1,(Лист2!$A$2:$A$505=Лист1!A328)*(Лист2!$B$2:$B$505=Лист1!B328),Лист2!$E$2:$E$505)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cm="1">
        <f t="array" ref="E329">_xlfn.XLOOKUP(1,(Лист2!$A$2:$A$505=Лист1!A329)*(Лист2!$B$2:$B$505=Лист1!B329),Лист2!$C$2:$C$505)</f>
        <v>54</v>
      </c>
      <c r="F329" cm="1">
        <f t="array" ref="F329">_xlfn.XLOOKUP(1,(Лист2!$A$2:$A$505=Лист1!A329)*(Лист2!$B$2:$B$505=Лист1!B329),Лист2!$D$2:$D$505)</f>
        <v>11288</v>
      </c>
      <c r="G329" cm="1">
        <f t="array" ref="G329">_xlfn.XLOOKUP(1,(Лист2!$A$2:$A$505=Лист1!A329)*(Лист2!$B$2:$B$505=Лист1!B329),Лист2!$E$2:$E$505)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cm="1">
        <f t="array" ref="E330">_xlfn.XLOOKUP(1,(Лист2!$A$2:$A$505=Лист1!A330)*(Лист2!$B$2:$B$505=Лист1!B330),Лист2!$C$2:$C$505)</f>
        <v>54</v>
      </c>
      <c r="F330" cm="1">
        <f t="array" ref="F330">_xlfn.XLOOKUP(1,(Лист2!$A$2:$A$505=Лист1!A330)*(Лист2!$B$2:$B$505=Лист1!B330),Лист2!$D$2:$D$505)</f>
        <v>13606</v>
      </c>
      <c r="G330" cm="1">
        <f t="array" ref="G330">_xlfn.XLOOKUP(1,(Лист2!$A$2:$A$505=Лист1!A330)*(Лист2!$B$2:$B$505=Лист1!B330),Лист2!$E$2:$E$505)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cm="1">
        <f t="array" ref="E331">_xlfn.XLOOKUP(1,(Лист2!$A$2:$A$505=Лист1!A331)*(Лист2!$B$2:$B$505=Лист1!B331),Лист2!$C$2:$C$505)</f>
        <v>54</v>
      </c>
      <c r="F331" cm="1">
        <f t="array" ref="F331">_xlfn.XLOOKUP(1,(Лист2!$A$2:$A$505=Лист1!A331)*(Лист2!$B$2:$B$505=Лист1!B331),Лист2!$D$2:$D$505)</f>
        <v>11622</v>
      </c>
      <c r="G331" cm="1">
        <f t="array" ref="G331">_xlfn.XLOOKUP(1,(Лист2!$A$2:$A$505=Лист1!A331)*(Лист2!$B$2:$B$505=Лист1!B331),Лист2!$E$2:$E$505)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cm="1">
        <f t="array" ref="E332">_xlfn.XLOOKUP(1,(Лист2!$A$2:$A$505=Лист1!A332)*(Лист2!$B$2:$B$505=Лист1!B332),Лист2!$C$2:$C$505)</f>
        <v>54</v>
      </c>
      <c r="F332" cm="1">
        <f t="array" ref="F332">_xlfn.XLOOKUP(1,(Лист2!$A$2:$A$505=Лист1!A332)*(Лист2!$B$2:$B$505=Лист1!B332),Лист2!$D$2:$D$505)</f>
        <v>14482</v>
      </c>
      <c r="G332" cm="1">
        <f t="array" ref="G332">_xlfn.XLOOKUP(1,(Лист2!$A$2:$A$505=Лист1!A332)*(Лист2!$B$2:$B$505=Лист1!B332),Лист2!$E$2:$E$505)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cm="1">
        <f t="array" ref="E333">_xlfn.XLOOKUP(1,(Лист2!$A$2:$A$505=Лист1!A333)*(Лист2!$B$2:$B$505=Лист1!B333),Лист2!$C$2:$C$505)</f>
        <v>54</v>
      </c>
      <c r="F333" cm="1">
        <f t="array" ref="F333">_xlfn.XLOOKUP(1,(Лист2!$A$2:$A$505=Лист1!A333)*(Лист2!$B$2:$B$505=Лист1!B333),Лист2!$D$2:$D$505)</f>
        <v>14205</v>
      </c>
      <c r="G333" cm="1">
        <f t="array" ref="G333">_xlfn.XLOOKUP(1,(Лист2!$A$2:$A$505=Лист1!A333)*(Лист2!$B$2:$B$505=Лист1!B333),Лист2!$E$2:$E$505)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cm="1">
        <f t="array" ref="E334">_xlfn.XLOOKUP(1,(Лист2!$A$2:$A$505=Лист1!A334)*(Лист2!$B$2:$B$505=Лист1!B334),Лист2!$C$2:$C$505)</f>
        <v>54</v>
      </c>
      <c r="F334" cm="1">
        <f t="array" ref="F334">_xlfn.XLOOKUP(1,(Лист2!$A$2:$A$505=Лист1!A334)*(Лист2!$B$2:$B$505=Лист1!B334),Лист2!$D$2:$D$505)</f>
        <v>11614</v>
      </c>
      <c r="G334" cm="1">
        <f t="array" ref="G334">_xlfn.XLOOKUP(1,(Лист2!$A$2:$A$505=Лист1!A334)*(Лист2!$B$2:$B$505=Лист1!B334),Лист2!$E$2:$E$505)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cm="1">
        <f t="array" ref="E335">_xlfn.XLOOKUP(1,(Лист2!$A$2:$A$505=Лист1!A335)*(Лист2!$B$2:$B$505=Лист1!B335),Лист2!$C$2:$C$505)</f>
        <v>54</v>
      </c>
      <c r="F335" cm="1">
        <f t="array" ref="F335">_xlfn.XLOOKUP(1,(Лист2!$A$2:$A$505=Лист1!A335)*(Лист2!$B$2:$B$505=Лист1!B335),Лист2!$D$2:$D$505)</f>
        <v>13240</v>
      </c>
      <c r="G335" cm="1">
        <f t="array" ref="G335">_xlfn.XLOOKUP(1,(Лист2!$A$2:$A$505=Лист1!A335)*(Лист2!$B$2:$B$505=Лист1!B335),Лист2!$E$2:$E$505)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cm="1">
        <f t="array" ref="E336">_xlfn.XLOOKUP(1,(Лист2!$A$2:$A$505=Лист1!A336)*(Лист2!$B$2:$B$505=Лист1!B336),Лист2!$C$2:$C$505)</f>
        <v>54</v>
      </c>
      <c r="F336" cm="1">
        <f t="array" ref="F336">_xlfn.XLOOKUP(1,(Лист2!$A$2:$A$505=Лист1!A336)*(Лист2!$B$2:$B$505=Лист1!B336),Лист2!$D$2:$D$505)</f>
        <v>13298</v>
      </c>
      <c r="G336" cm="1">
        <f t="array" ref="G336">_xlfn.XLOOKUP(1,(Лист2!$A$2:$A$505=Лист1!A336)*(Лист2!$B$2:$B$505=Лист1!B336),Лист2!$E$2:$E$505)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cm="1">
        <f t="array" ref="E337">_xlfn.XLOOKUP(1,(Лист2!$A$2:$A$505=Лист1!A337)*(Лист2!$B$2:$B$505=Лист1!B337),Лист2!$C$2:$C$505)</f>
        <v>54</v>
      </c>
      <c r="F337" cm="1">
        <f t="array" ref="F337">_xlfn.XLOOKUP(1,(Лист2!$A$2:$A$505=Лист1!A337)*(Лист2!$B$2:$B$505=Лист1!B337),Лист2!$D$2:$D$505)</f>
        <v>12775</v>
      </c>
      <c r="G337" cm="1">
        <f t="array" ref="G337">_xlfn.XLOOKUP(1,(Лист2!$A$2:$A$505=Лист1!A337)*(Лист2!$B$2:$B$505=Лист1!B337),Лист2!$E$2:$E$505)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cm="1">
        <f t="array" ref="E338">_xlfn.XLOOKUP(1,(Лист2!$A$2:$A$505=Лист1!A338)*(Лист2!$B$2:$B$505=Лист1!B338),Лист2!$C$2:$C$505)</f>
        <v>54</v>
      </c>
      <c r="F338" cm="1">
        <f t="array" ref="F338">_xlfn.XLOOKUP(1,(Лист2!$A$2:$A$505=Лист1!A338)*(Лист2!$B$2:$B$505=Лист1!B338),Лист2!$D$2:$D$505)</f>
        <v>11522</v>
      </c>
      <c r="G338" cm="1">
        <f t="array" ref="G338">_xlfn.XLOOKUP(1,(Лист2!$A$2:$A$505=Лист1!A338)*(Лист2!$B$2:$B$505=Лист1!B338),Лист2!$E$2:$E$505)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cm="1">
        <f t="array" ref="E339">_xlfn.XLOOKUP(1,(Лист2!$A$2:$A$505=Лист1!A339)*(Лист2!$B$2:$B$505=Лист1!B339),Лист2!$C$2:$C$505)</f>
        <v>59</v>
      </c>
      <c r="F339" cm="1">
        <f t="array" ref="F339">_xlfn.XLOOKUP(1,(Лист2!$A$2:$A$505=Лист1!A339)*(Лист2!$B$2:$B$505=Лист1!B339),Лист2!$D$2:$D$505)</f>
        <v>13684</v>
      </c>
      <c r="G339" cm="1">
        <f t="array" ref="G339">_xlfn.XLOOKUP(1,(Лист2!$A$2:$A$505=Лист1!A339)*(Лист2!$B$2:$B$505=Лист1!B339),Лист2!$E$2:$E$505)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cm="1">
        <f t="array" ref="E340">_xlfn.XLOOKUP(1,(Лист2!$A$2:$A$505=Лист1!A340)*(Лист2!$B$2:$B$505=Лист1!B340),Лист2!$C$2:$C$505)</f>
        <v>54</v>
      </c>
      <c r="F340" cm="1">
        <f t="array" ref="F340">_xlfn.XLOOKUP(1,(Лист2!$A$2:$A$505=Лист1!A340)*(Лист2!$B$2:$B$505=Лист1!B340),Лист2!$D$2:$D$505)</f>
        <v>14823</v>
      </c>
      <c r="G340" cm="1">
        <f t="array" ref="G340">_xlfn.XLOOKUP(1,(Лист2!$A$2:$A$505=Лист1!A340)*(Лист2!$B$2:$B$505=Лист1!B340),Лист2!$E$2:$E$505)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cm="1">
        <f t="array" ref="E341">_xlfn.XLOOKUP(1,(Лист2!$A$2:$A$505=Лист1!A341)*(Лист2!$B$2:$B$505=Лист1!B341),Лист2!$C$2:$C$505)</f>
        <v>59</v>
      </c>
      <c r="F341" cm="1">
        <f t="array" ref="F341">_xlfn.XLOOKUP(1,(Лист2!$A$2:$A$505=Лист1!A341)*(Лист2!$B$2:$B$505=Лист1!B341),Лист2!$D$2:$D$505)</f>
        <v>15030</v>
      </c>
      <c r="G341" cm="1">
        <f t="array" ref="G341">_xlfn.XLOOKUP(1,(Лист2!$A$2:$A$505=Лист1!A341)*(Лист2!$B$2:$B$505=Лист1!B341),Лист2!$E$2:$E$505)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cm="1">
        <f t="array" ref="E342">_xlfn.XLOOKUP(1,(Лист2!$A$2:$A$505=Лист1!A342)*(Лист2!$B$2:$B$505=Лист1!B342),Лист2!$C$2:$C$505)</f>
        <v>54</v>
      </c>
      <c r="F342" cm="1">
        <f t="array" ref="F342">_xlfn.XLOOKUP(1,(Лист2!$A$2:$A$505=Лист1!A342)*(Лист2!$B$2:$B$505=Лист1!B342),Лист2!$D$2:$D$505)</f>
        <v>13406</v>
      </c>
      <c r="G342" cm="1">
        <f t="array" ref="G342">_xlfn.XLOOKUP(1,(Лист2!$A$2:$A$505=Лист1!A342)*(Лист2!$B$2:$B$505=Лист1!B342),Лист2!$E$2:$E$505)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cm="1">
        <f t="array" ref="E343">_xlfn.XLOOKUP(1,(Лист2!$A$2:$A$505=Лист1!A343)*(Лист2!$B$2:$B$505=Лист1!B343),Лист2!$C$2:$C$505)</f>
        <v>54</v>
      </c>
      <c r="F343" cm="1">
        <f t="array" ref="F343">_xlfn.XLOOKUP(1,(Лист2!$A$2:$A$505=Лист1!A343)*(Лист2!$B$2:$B$505=Лист1!B343),Лист2!$D$2:$D$505)</f>
        <v>16221</v>
      </c>
      <c r="G343" cm="1">
        <f t="array" ref="G343">_xlfn.XLOOKUP(1,(Лист2!$A$2:$A$505=Лист1!A343)*(Лист2!$B$2:$B$505=Лист1!B343),Лист2!$E$2:$E$505)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cm="1">
        <f t="array" ref="E344">_xlfn.XLOOKUP(1,(Лист2!$A$2:$A$505=Лист1!A344)*(Лист2!$B$2:$B$505=Лист1!B344),Лист2!$C$2:$C$505)</f>
        <v>60</v>
      </c>
      <c r="F344" cm="1">
        <f t="array" ref="F344">_xlfn.XLOOKUP(1,(Лист2!$A$2:$A$505=Лист1!A344)*(Лист2!$B$2:$B$505=Лист1!B344),Лист2!$D$2:$D$505)</f>
        <v>12854</v>
      </c>
      <c r="G344" cm="1">
        <f t="array" ref="G344">_xlfn.XLOOKUP(1,(Лист2!$A$2:$A$505=Лист1!A344)*(Лист2!$B$2:$B$505=Лист1!B344),Лист2!$E$2:$E$505)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cm="1">
        <f t="array" ref="E345">_xlfn.XLOOKUP(1,(Лист2!$A$2:$A$505=Лист1!A345)*(Лист2!$B$2:$B$505=Лист1!B345),Лист2!$C$2:$C$505)</f>
        <v>54</v>
      </c>
      <c r="F345" cm="1">
        <f t="array" ref="F345">_xlfn.XLOOKUP(1,(Лист2!$A$2:$A$505=Лист1!A345)*(Лист2!$B$2:$B$505=Лист1!B345),Лист2!$D$2:$D$505)</f>
        <v>12336</v>
      </c>
      <c r="G345" cm="1">
        <f t="array" ref="G345">_xlfn.XLOOKUP(1,(Лист2!$A$2:$A$505=Лист1!A345)*(Лист2!$B$2:$B$505=Лист1!B345),Лист2!$E$2:$E$505)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cm="1">
        <f t="array" ref="E346">_xlfn.XLOOKUP(1,(Лист2!$A$2:$A$505=Лист1!A346)*(Лист2!$B$2:$B$505=Лист1!B346),Лист2!$C$2:$C$505)</f>
        <v>54</v>
      </c>
      <c r="F346" cm="1">
        <f t="array" ref="F346">_xlfn.XLOOKUP(1,(Лист2!$A$2:$A$505=Лист1!A346)*(Лист2!$B$2:$B$505=Лист1!B346),Лист2!$D$2:$D$505)</f>
        <v>12817</v>
      </c>
      <c r="G346" cm="1">
        <f t="array" ref="G346">_xlfn.XLOOKUP(1,(Лист2!$A$2:$A$505=Лист1!A346)*(Лист2!$B$2:$B$505=Лист1!B346),Лист2!$E$2:$E$505)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cm="1">
        <f t="array" ref="E347">_xlfn.XLOOKUP(1,(Лист2!$A$2:$A$505=Лист1!A347)*(Лист2!$B$2:$B$505=Лист1!B347),Лист2!$C$2:$C$505)</f>
        <v>54</v>
      </c>
      <c r="F347" cm="1">
        <f t="array" ref="F347">_xlfn.XLOOKUP(1,(Лист2!$A$2:$A$505=Лист1!A347)*(Лист2!$B$2:$B$505=Лист1!B347),Лист2!$D$2:$D$505)</f>
        <v>13832</v>
      </c>
      <c r="G347" cm="1">
        <f t="array" ref="G347">_xlfn.XLOOKUP(1,(Лист2!$A$2:$A$505=Лист1!A347)*(Лист2!$B$2:$B$505=Лист1!B347),Лист2!$E$2:$E$505)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cm="1">
        <f t="array" ref="E348">_xlfn.XLOOKUP(1,(Лист2!$A$2:$A$505=Лист1!A348)*(Лист2!$B$2:$B$505=Лист1!B348),Лист2!$C$2:$C$505)</f>
        <v>54</v>
      </c>
      <c r="F348" cm="1">
        <f t="array" ref="F348">_xlfn.XLOOKUP(1,(Лист2!$A$2:$A$505=Лист1!A348)*(Лист2!$B$2:$B$505=Лист1!B348),Лист2!$D$2:$D$505)</f>
        <v>13563</v>
      </c>
      <c r="G348" cm="1">
        <f t="array" ref="G348">_xlfn.XLOOKUP(1,(Лист2!$A$2:$A$505=Лист1!A348)*(Лист2!$B$2:$B$505=Лист1!B348),Лист2!$E$2:$E$505)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cm="1">
        <f t="array" ref="E349">_xlfn.XLOOKUP(1,(Лист2!$A$2:$A$505=Лист1!A349)*(Лист2!$B$2:$B$505=Лист1!B349),Лист2!$C$2:$C$505)</f>
        <v>54</v>
      </c>
      <c r="F349" cm="1">
        <f t="array" ref="F349">_xlfn.XLOOKUP(1,(Лист2!$A$2:$A$505=Лист1!A349)*(Лист2!$B$2:$B$505=Лист1!B349),Лист2!$D$2:$D$505)</f>
        <v>12743</v>
      </c>
      <c r="G349" cm="1">
        <f t="array" ref="G349">_xlfn.XLOOKUP(1,(Лист2!$A$2:$A$505=Лист1!A349)*(Лист2!$B$2:$B$505=Лист1!B349),Лист2!$E$2:$E$505)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cm="1">
        <f t="array" ref="E350">_xlfn.XLOOKUP(1,(Лист2!$A$2:$A$505=Лист1!A350)*(Лист2!$B$2:$B$505=Лист1!B350),Лист2!$C$2:$C$505)</f>
        <v>54</v>
      </c>
      <c r="F350" cm="1">
        <f t="array" ref="F350">_xlfn.XLOOKUP(1,(Лист2!$A$2:$A$505=Лист1!A350)*(Лист2!$B$2:$B$505=Лист1!B350),Лист2!$D$2:$D$505)</f>
        <v>12211</v>
      </c>
      <c r="G350" cm="1">
        <f t="array" ref="G350">_xlfn.XLOOKUP(1,(Лист2!$A$2:$A$505=Лист1!A350)*(Лист2!$B$2:$B$505=Лист1!B350),Лист2!$E$2:$E$505)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cm="1">
        <f t="array" ref="E351">_xlfn.XLOOKUP(1,(Лист2!$A$2:$A$505=Лист1!A351)*(Лист2!$B$2:$B$505=Лист1!B351),Лист2!$C$2:$C$505)</f>
        <v>15</v>
      </c>
      <c r="F351" cm="1">
        <f t="array" ref="F351">_xlfn.XLOOKUP(1,(Лист2!$A$2:$A$505=Лист1!A351)*(Лист2!$B$2:$B$505=Лист1!B351),Лист2!$D$2:$D$505)</f>
        <v>659</v>
      </c>
      <c r="G351" cm="1">
        <f t="array" ref="G351">_xlfn.XLOOKUP(1,(Лист2!$A$2:$A$505=Лист1!A351)*(Лист2!$B$2:$B$505=Лист1!B351),Лист2!$E$2:$E$505)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cm="1">
        <f t="array" ref="E352">_xlfn.XLOOKUP(1,(Лист2!$A$2:$A$505=Лист1!A352)*(Лист2!$B$2:$B$505=Лист1!B352),Лист2!$C$2:$C$505)</f>
        <v>15</v>
      </c>
      <c r="F352" cm="1">
        <f t="array" ref="F352">_xlfn.XLOOKUP(1,(Лист2!$A$2:$A$505=Лист1!A352)*(Лист2!$B$2:$B$505=Лист1!B352),Лист2!$D$2:$D$505)</f>
        <v>636</v>
      </c>
      <c r="G352" cm="1">
        <f t="array" ref="G352">_xlfn.XLOOKUP(1,(Лист2!$A$2:$A$505=Лист1!A352)*(Лист2!$B$2:$B$505=Лист1!B352),Лист2!$E$2:$E$505)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cm="1">
        <f t="array" ref="E353">_xlfn.XLOOKUP(1,(Лист2!$A$2:$A$505=Лист1!A353)*(Лист2!$B$2:$B$505=Лист1!B353),Лист2!$C$2:$C$505)</f>
        <v>54</v>
      </c>
      <c r="F353" cm="1">
        <f t="array" ref="F353">_xlfn.XLOOKUP(1,(Лист2!$A$2:$A$505=Лист1!A353)*(Лист2!$B$2:$B$505=Лист1!B353),Лист2!$D$2:$D$505)</f>
        <v>13106</v>
      </c>
      <c r="G353" cm="1">
        <f t="array" ref="G353">_xlfn.XLOOKUP(1,(Лист2!$A$2:$A$505=Лист1!A353)*(Лист2!$B$2:$B$505=Лист1!B353),Лист2!$E$2:$E$505)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cm="1">
        <f t="array" ref="E354">_xlfn.XLOOKUP(1,(Лист2!$A$2:$A$505=Лист1!A354)*(Лист2!$B$2:$B$505=Лист1!B354),Лист2!$C$2:$C$505)</f>
        <v>54</v>
      </c>
      <c r="F354" cm="1">
        <f t="array" ref="F354">_xlfn.XLOOKUP(1,(Лист2!$A$2:$A$505=Лист1!A354)*(Лист2!$B$2:$B$505=Лист1!B354),Лист2!$D$2:$D$505)</f>
        <v>14590</v>
      </c>
      <c r="G354" cm="1">
        <f t="array" ref="G354">_xlfn.XLOOKUP(1,(Лист2!$A$2:$A$505=Лист1!A354)*(Лист2!$B$2:$B$505=Лист1!B354),Лист2!$E$2:$E$505)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cm="1">
        <f t="array" ref="E355">_xlfn.XLOOKUP(1,(Лист2!$A$2:$A$505=Лист1!A355)*(Лист2!$B$2:$B$505=Лист1!B355),Лист2!$C$2:$C$505)</f>
        <v>54</v>
      </c>
      <c r="F355" cm="1">
        <f t="array" ref="F355">_xlfn.XLOOKUP(1,(Лист2!$A$2:$A$505=Лист1!A355)*(Лист2!$B$2:$B$505=Лист1!B355),Лист2!$D$2:$D$505)</f>
        <v>12409</v>
      </c>
      <c r="G355" cm="1">
        <f t="array" ref="G355">_xlfn.XLOOKUP(1,(Лист2!$A$2:$A$505=Лист1!A355)*(Лист2!$B$2:$B$505=Лист1!B355),Лист2!$E$2:$E$505)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cm="1">
        <f t="array" ref="E356">_xlfn.XLOOKUP(1,(Лист2!$A$2:$A$505=Лист1!A356)*(Лист2!$B$2:$B$505=Лист1!B356),Лист2!$C$2:$C$505)</f>
        <v>16</v>
      </c>
      <c r="F356" cm="1">
        <f t="array" ref="F356">_xlfn.XLOOKUP(1,(Лист2!$A$2:$A$505=Лист1!A356)*(Лист2!$B$2:$B$505=Лист1!B356),Лист2!$D$2:$D$505)</f>
        <v>920</v>
      </c>
      <c r="G356" cm="1">
        <f t="array" ref="G356">_xlfn.XLOOKUP(1,(Лист2!$A$2:$A$505=Лист1!A356)*(Лист2!$B$2:$B$505=Лист1!B356),Лист2!$E$2:$E$505)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cm="1">
        <f t="array" ref="E357">_xlfn.XLOOKUP(1,(Лист2!$A$2:$A$505=Лист1!A357)*(Лист2!$B$2:$B$505=Лист1!B357),Лист2!$C$2:$C$505)</f>
        <v>17</v>
      </c>
      <c r="F357" cm="1">
        <f t="array" ref="F357">_xlfn.XLOOKUP(1,(Лист2!$A$2:$A$505=Лист1!A357)*(Лист2!$B$2:$B$505=Лист1!B357),Лист2!$D$2:$D$505)</f>
        <v>857</v>
      </c>
      <c r="G357" cm="1">
        <f t="array" ref="G357">_xlfn.XLOOKUP(1,(Лист2!$A$2:$A$505=Лист1!A357)*(Лист2!$B$2:$B$505=Лист1!B357),Лист2!$E$2:$E$505)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cm="1">
        <f t="array" ref="E358">_xlfn.XLOOKUP(1,(Лист2!$A$2:$A$505=Лист1!A358)*(Лист2!$B$2:$B$505=Лист1!B358),Лист2!$C$2:$C$505)</f>
        <v>16</v>
      </c>
      <c r="F358" cm="1">
        <f t="array" ref="F358">_xlfn.XLOOKUP(1,(Лист2!$A$2:$A$505=Лист1!A358)*(Лист2!$B$2:$B$505=Лист1!B358),Лист2!$D$2:$D$505)</f>
        <v>859</v>
      </c>
      <c r="G358" cm="1">
        <f t="array" ref="G358">_xlfn.XLOOKUP(1,(Лист2!$A$2:$A$505=Лист1!A358)*(Лист2!$B$2:$B$505=Лист1!B358),Лист2!$E$2:$E$505)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cm="1">
        <f t="array" ref="E359">_xlfn.XLOOKUP(1,(Лист2!$A$2:$A$505=Лист1!A359)*(Лист2!$B$2:$B$505=Лист1!B359),Лист2!$C$2:$C$505)</f>
        <v>15</v>
      </c>
      <c r="F359" cm="1">
        <f t="array" ref="F359">_xlfn.XLOOKUP(1,(Лист2!$A$2:$A$505=Лист1!A359)*(Лист2!$B$2:$B$505=Лист1!B359),Лист2!$D$2:$D$505)</f>
        <v>654</v>
      </c>
      <c r="G359" cm="1">
        <f t="array" ref="G359">_xlfn.XLOOKUP(1,(Лист2!$A$2:$A$505=Лист1!A359)*(Лист2!$B$2:$B$505=Лист1!B359),Лист2!$E$2:$E$505)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cm="1">
        <f t="array" ref="E360">_xlfn.XLOOKUP(1,(Лист2!$A$2:$A$505=Лист1!A360)*(Лист2!$B$2:$B$505=Лист1!B360),Лист2!$C$2:$C$505)</f>
        <v>15</v>
      </c>
      <c r="F360" cm="1">
        <f t="array" ref="F360">_xlfn.XLOOKUP(1,(Лист2!$A$2:$A$505=Лист1!A360)*(Лист2!$B$2:$B$505=Лист1!B360),Лист2!$D$2:$D$505)</f>
        <v>622</v>
      </c>
      <c r="G360" cm="1">
        <f t="array" ref="G360">_xlfn.XLOOKUP(1,(Лист2!$A$2:$A$505=Лист1!A360)*(Лист2!$B$2:$B$505=Лист1!B360),Лист2!$E$2:$E$505)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cm="1">
        <f t="array" ref="E361">_xlfn.XLOOKUP(1,(Лист2!$A$2:$A$505=Лист1!A361)*(Лист2!$B$2:$B$505=Лист1!B361),Лист2!$C$2:$C$505)</f>
        <v>15</v>
      </c>
      <c r="F361" cm="1">
        <f t="array" ref="F361">_xlfn.XLOOKUP(1,(Лист2!$A$2:$A$505=Лист1!A361)*(Лист2!$B$2:$B$505=Лист1!B361),Лист2!$D$2:$D$505)</f>
        <v>567</v>
      </c>
      <c r="G361" cm="1">
        <f t="array" ref="G361">_xlfn.XLOOKUP(1,(Лист2!$A$2:$A$505=Лист1!A361)*(Лист2!$B$2:$B$505=Лист1!B361),Лист2!$E$2:$E$505)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cm="1">
        <f t="array" ref="E362">_xlfn.XLOOKUP(1,(Лист2!$A$2:$A$505=Лист1!A362)*(Лист2!$B$2:$B$505=Лист1!B362),Лист2!$C$2:$C$505)</f>
        <v>7</v>
      </c>
      <c r="F362" cm="1">
        <f t="array" ref="F362">_xlfn.XLOOKUP(1,(Лист2!$A$2:$A$505=Лист1!A362)*(Лист2!$B$2:$B$505=Лист1!B362),Лист2!$D$2:$D$505)</f>
        <v>577</v>
      </c>
      <c r="G362" cm="1">
        <f t="array" ref="G362">_xlfn.XLOOKUP(1,(Лист2!$A$2:$A$505=Лист1!A362)*(Лист2!$B$2:$B$505=Лист1!B362),Лист2!$E$2:$E$505)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cm="1">
        <f t="array" ref="E363">_xlfn.XLOOKUP(1,(Лист2!$A$2:$A$505=Лист1!A363)*(Лист2!$B$2:$B$505=Лист1!B363),Лист2!$C$2:$C$505)</f>
        <v>15</v>
      </c>
      <c r="F363" cm="1">
        <f t="array" ref="F363">_xlfn.XLOOKUP(1,(Лист2!$A$2:$A$505=Лист1!A363)*(Лист2!$B$2:$B$505=Лист1!B363),Лист2!$D$2:$D$505)</f>
        <v>721</v>
      </c>
      <c r="G363" cm="1">
        <f t="array" ref="G363">_xlfn.XLOOKUP(1,(Лист2!$A$2:$A$505=Лист1!A363)*(Лист2!$B$2:$B$505=Лист1!B363),Лист2!$E$2:$E$505)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cm="1">
        <f t="array" ref="E364">_xlfn.XLOOKUP(1,(Лист2!$A$2:$A$505=Лист1!A364)*(Лист2!$B$2:$B$505=Лист1!B364),Лист2!$C$2:$C$505)</f>
        <v>15</v>
      </c>
      <c r="F364" cm="1">
        <f t="array" ref="F364">_xlfn.XLOOKUP(1,(Лист2!$A$2:$A$505=Лист1!A364)*(Лист2!$B$2:$B$505=Лист1!B364),Лист2!$D$2:$D$505)</f>
        <v>750</v>
      </c>
      <c r="G364" cm="1">
        <f t="array" ref="G364">_xlfn.XLOOKUP(1,(Лист2!$A$2:$A$505=Лист1!A364)*(Лист2!$B$2:$B$505=Лист1!B364),Лист2!$E$2:$E$505)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cm="1">
        <f t="array" ref="E365">_xlfn.XLOOKUP(1,(Лист2!$A$2:$A$505=Лист1!A365)*(Лист2!$B$2:$B$505=Лист1!B365),Лист2!$C$2:$C$505)</f>
        <v>18</v>
      </c>
      <c r="F365" cm="1">
        <f t="array" ref="F365">_xlfn.XLOOKUP(1,(Лист2!$A$2:$A$505=Лист1!A365)*(Лист2!$B$2:$B$505=Лист1!B365),Лист2!$D$2:$D$505)</f>
        <v>888</v>
      </c>
      <c r="G365" cm="1">
        <f t="array" ref="G365">_xlfn.XLOOKUP(1,(Лист2!$A$2:$A$505=Лист1!A365)*(Лист2!$B$2:$B$505=Лист1!B365),Лист2!$E$2:$E$505)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cm="1">
        <f t="array" ref="E366">_xlfn.XLOOKUP(1,(Лист2!$A$2:$A$505=Лист1!A366)*(Лист2!$B$2:$B$505=Лист1!B366),Лист2!$C$2:$C$505)</f>
        <v>17</v>
      </c>
      <c r="F366" cm="1">
        <f t="array" ref="F366">_xlfn.XLOOKUP(1,(Лист2!$A$2:$A$505=Лист1!A366)*(Лист2!$B$2:$B$505=Лист1!B366),Лист2!$D$2:$D$505)</f>
        <v>890</v>
      </c>
      <c r="G366" cm="1">
        <f t="array" ref="G366">_xlfn.XLOOKUP(1,(Лист2!$A$2:$A$505=Лист1!A366)*(Лист2!$B$2:$B$505=Лист1!B366),Лист2!$E$2:$E$505)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cm="1">
        <f t="array" ref="E367">_xlfn.XLOOKUP(1,(Лист2!$A$2:$A$505=Лист1!A367)*(Лист2!$B$2:$B$505=Лист1!B367),Лист2!$C$2:$C$505)</f>
        <v>15</v>
      </c>
      <c r="F367" cm="1">
        <f t="array" ref="F367">_xlfn.XLOOKUP(1,(Лист2!$A$2:$A$505=Лист1!A367)*(Лист2!$B$2:$B$505=Лист1!B367),Лист2!$D$2:$D$505)</f>
        <v>750</v>
      </c>
      <c r="G367" cm="1">
        <f t="array" ref="G367">_xlfn.XLOOKUP(1,(Лист2!$A$2:$A$505=Лист1!A367)*(Лист2!$B$2:$B$505=Лист1!B367),Лист2!$E$2:$E$505)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cm="1">
        <f t="array" ref="E368">_xlfn.XLOOKUP(1,(Лист2!$A$2:$A$505=Лист1!A368)*(Лист2!$B$2:$B$505=Лист1!B368),Лист2!$C$2:$C$505)</f>
        <v>15</v>
      </c>
      <c r="F368" cm="1">
        <f t="array" ref="F368">_xlfn.XLOOKUP(1,(Лист2!$A$2:$A$505=Лист1!A368)*(Лист2!$B$2:$B$505=Лист1!B368),Лист2!$D$2:$D$505)</f>
        <v>854</v>
      </c>
      <c r="G368" cm="1">
        <f t="array" ref="G368">_xlfn.XLOOKUP(1,(Лист2!$A$2:$A$505=Лист1!A368)*(Лист2!$B$2:$B$505=Лист1!B368),Лист2!$E$2:$E$505)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cm="1">
        <f t="array" ref="E369">_xlfn.XLOOKUP(1,(Лист2!$A$2:$A$505=Лист1!A369)*(Лист2!$B$2:$B$505=Лист1!B369),Лист2!$C$2:$C$505)</f>
        <v>15</v>
      </c>
      <c r="F369" cm="1">
        <f t="array" ref="F369">_xlfn.XLOOKUP(1,(Лист2!$A$2:$A$505=Лист1!A369)*(Лист2!$B$2:$B$505=Лист1!B369),Лист2!$D$2:$D$505)</f>
        <v>585</v>
      </c>
      <c r="G369" cm="1">
        <f t="array" ref="G369">_xlfn.XLOOKUP(1,(Лист2!$A$2:$A$505=Лист1!A369)*(Лист2!$B$2:$B$505=Лист1!B369),Лист2!$E$2:$E$505)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cm="1">
        <f t="array" ref="E370">_xlfn.XLOOKUP(1,(Лист2!$A$2:$A$505=Лист1!A370)*(Лист2!$B$2:$B$505=Лист1!B370),Лист2!$C$2:$C$505)</f>
        <v>15</v>
      </c>
      <c r="F370" cm="1">
        <f t="array" ref="F370">_xlfn.XLOOKUP(1,(Лист2!$A$2:$A$505=Лист1!A370)*(Лист2!$B$2:$B$505=Лист1!B370),Лист2!$D$2:$D$505)</f>
        <v>701</v>
      </c>
      <c r="G370" cm="1">
        <f t="array" ref="G370">_xlfn.XLOOKUP(1,(Лист2!$A$2:$A$505=Лист1!A370)*(Лист2!$B$2:$B$505=Лист1!B370),Лист2!$E$2:$E$505)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cm="1">
        <f t="array" ref="E371">_xlfn.XLOOKUP(1,(Лист2!$A$2:$A$505=Лист1!A371)*(Лист2!$B$2:$B$505=Лист1!B371),Лист2!$C$2:$C$505)</f>
        <v>18</v>
      </c>
      <c r="F371" cm="1">
        <f t="array" ref="F371">_xlfn.XLOOKUP(1,(Лист2!$A$2:$A$505=Лист1!A371)*(Лист2!$B$2:$B$505=Лист1!B371),Лист2!$D$2:$D$505)</f>
        <v>1031</v>
      </c>
      <c r="G371" cm="1">
        <f t="array" ref="G371">_xlfn.XLOOKUP(1,(Лист2!$A$2:$A$505=Лист1!A371)*(Лист2!$B$2:$B$505=Лист1!B371),Лист2!$E$2:$E$505)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cm="1">
        <f t="array" ref="E372">_xlfn.XLOOKUP(1,(Лист2!$A$2:$A$505=Лист1!A372)*(Лист2!$B$2:$B$505=Лист1!B372),Лист2!$C$2:$C$505)</f>
        <v>18</v>
      </c>
      <c r="F372" cm="1">
        <f t="array" ref="F372">_xlfn.XLOOKUP(1,(Лист2!$A$2:$A$505=Лист1!A372)*(Лист2!$B$2:$B$505=Лист1!B372),Лист2!$D$2:$D$505)</f>
        <v>989</v>
      </c>
      <c r="G372" cm="1">
        <f t="array" ref="G372">_xlfn.XLOOKUP(1,(Лист2!$A$2:$A$505=Лист1!A372)*(Лист2!$B$2:$B$505=Лист1!B372),Лист2!$E$2:$E$505)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cm="1">
        <f t="array" ref="E373">_xlfn.XLOOKUP(1,(Лист2!$A$2:$A$505=Лист1!A373)*(Лист2!$B$2:$B$505=Лист1!B373),Лист2!$C$2:$C$505)</f>
        <v>15</v>
      </c>
      <c r="F373" cm="1">
        <f t="array" ref="F373">_xlfn.XLOOKUP(1,(Лист2!$A$2:$A$505=Лист1!A373)*(Лист2!$B$2:$B$505=Лист1!B373),Лист2!$D$2:$D$505)</f>
        <v>644</v>
      </c>
      <c r="G373" cm="1">
        <f t="array" ref="G373">_xlfn.XLOOKUP(1,(Лист2!$A$2:$A$505=Лист1!A373)*(Лист2!$B$2:$B$505=Лист1!B373),Лист2!$E$2:$E$505)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cm="1">
        <f t="array" ref="E374">_xlfn.XLOOKUP(1,(Лист2!$A$2:$A$505=Лист1!A374)*(Лист2!$B$2:$B$505=Лист1!B374),Лист2!$C$2:$C$505)</f>
        <v>15</v>
      </c>
      <c r="F374" cm="1">
        <f t="array" ref="F374">_xlfn.XLOOKUP(1,(Лист2!$A$2:$A$505=Лист1!A374)*(Лист2!$B$2:$B$505=Лист1!B374),Лист2!$D$2:$D$505)</f>
        <v>792</v>
      </c>
      <c r="G374" cm="1">
        <f t="array" ref="G374">_xlfn.XLOOKUP(1,(Лист2!$A$2:$A$505=Лист1!A374)*(Лист2!$B$2:$B$505=Лист1!B374),Лист2!$E$2:$E$505)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cm="1">
        <f t="array" ref="E375">_xlfn.XLOOKUP(1,(Лист2!$A$2:$A$505=Лист1!A375)*(Лист2!$B$2:$B$505=Лист1!B375),Лист2!$C$2:$C$505)</f>
        <v>15</v>
      </c>
      <c r="F375" cm="1">
        <f t="array" ref="F375">_xlfn.XLOOKUP(1,(Лист2!$A$2:$A$505=Лист1!A375)*(Лист2!$B$2:$B$505=Лист1!B375),Лист2!$D$2:$D$505)</f>
        <v>703</v>
      </c>
      <c r="G375" cm="1">
        <f t="array" ref="G375">_xlfn.XLOOKUP(1,(Лист2!$A$2:$A$505=Лист1!A375)*(Лист2!$B$2:$B$505=Лист1!B375),Лист2!$E$2:$E$505)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cm="1">
        <f t="array" ref="E376">_xlfn.XLOOKUP(1,(Лист2!$A$2:$A$505=Лист1!A376)*(Лист2!$B$2:$B$505=Лист1!B376),Лист2!$C$2:$C$505)</f>
        <v>15</v>
      </c>
      <c r="F376" cm="1">
        <f t="array" ref="F376">_xlfn.XLOOKUP(1,(Лист2!$A$2:$A$505=Лист1!A376)*(Лист2!$B$2:$B$505=Лист1!B376),Лист2!$D$2:$D$505)</f>
        <v>676</v>
      </c>
      <c r="G376" cm="1">
        <f t="array" ref="G376">_xlfn.XLOOKUP(1,(Лист2!$A$2:$A$505=Лист1!A376)*(Лист2!$B$2:$B$505=Лист1!B376),Лист2!$E$2:$E$505)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cm="1">
        <f t="array" ref="E377">_xlfn.XLOOKUP(1,(Лист2!$A$2:$A$505=Лист1!A377)*(Лист2!$B$2:$B$505=Лист1!B377),Лист2!$C$2:$C$505)</f>
        <v>18</v>
      </c>
      <c r="F377" cm="1">
        <f t="array" ref="F377">_xlfn.XLOOKUP(1,(Лист2!$A$2:$A$505=Лист1!A377)*(Лист2!$B$2:$B$505=Лист1!B377),Лист2!$D$2:$D$505)</f>
        <v>1006</v>
      </c>
      <c r="G377" cm="1">
        <f t="array" ref="G377">_xlfn.XLOOKUP(1,(Лист2!$A$2:$A$505=Лист1!A377)*(Лист2!$B$2:$B$505=Лист1!B377),Лист2!$E$2:$E$505)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cm="1">
        <f t="array" ref="E378">_xlfn.XLOOKUP(1,(Лист2!$A$2:$A$505=Лист1!A378)*(Лист2!$B$2:$B$505=Лист1!B378),Лист2!$C$2:$C$505)</f>
        <v>18</v>
      </c>
      <c r="F378" cm="1">
        <f t="array" ref="F378">_xlfn.XLOOKUP(1,(Лист2!$A$2:$A$505=Лист1!A378)*(Лист2!$B$2:$B$505=Лист1!B378),Лист2!$D$2:$D$505)</f>
        <v>914</v>
      </c>
      <c r="G378" cm="1">
        <f t="array" ref="G378">_xlfn.XLOOKUP(1,(Лист2!$A$2:$A$505=Лист1!A378)*(Лист2!$B$2:$B$505=Лист1!B378),Лист2!$E$2:$E$505)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cm="1">
        <f t="array" ref="E379">_xlfn.XLOOKUP(1,(Лист2!$A$2:$A$505=Лист1!A379)*(Лист2!$B$2:$B$505=Лист1!B379),Лист2!$C$2:$C$505)</f>
        <v>15</v>
      </c>
      <c r="F379" cm="1">
        <f t="array" ref="F379">_xlfn.XLOOKUP(1,(Лист2!$A$2:$A$505=Лист1!A379)*(Лист2!$B$2:$B$505=Лист1!B379),Лист2!$D$2:$D$505)</f>
        <v>453</v>
      </c>
      <c r="G379" cm="1">
        <f t="array" ref="G379">_xlfn.XLOOKUP(1,(Лист2!$A$2:$A$505=Лист1!A379)*(Лист2!$B$2:$B$505=Лист1!B379),Лист2!$E$2:$E$505)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cm="1">
        <f t="array" ref="E380">_xlfn.XLOOKUP(1,(Лист2!$A$2:$A$505=Лист1!A380)*(Лист2!$B$2:$B$505=Лист1!B380),Лист2!$C$2:$C$505)</f>
        <v>9</v>
      </c>
      <c r="F380" cm="1">
        <f t="array" ref="F380">_xlfn.XLOOKUP(1,(Лист2!$A$2:$A$505=Лист1!A380)*(Лист2!$B$2:$B$505=Лист1!B380),Лист2!$D$2:$D$505)</f>
        <v>345</v>
      </c>
      <c r="G380" cm="1">
        <f t="array" ref="G380">_xlfn.XLOOKUP(1,(Лист2!$A$2:$A$505=Лист1!A380)*(Лист2!$B$2:$B$505=Лист1!B380),Лист2!$E$2:$E$505)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cm="1">
        <f t="array" ref="E381">_xlfn.XLOOKUP(1,(Лист2!$A$2:$A$505=Лист1!A381)*(Лист2!$B$2:$B$505=Лист1!B381),Лист2!$C$2:$C$505)</f>
        <v>7</v>
      </c>
      <c r="F381" cm="1">
        <f t="array" ref="F381">_xlfn.XLOOKUP(1,(Лист2!$A$2:$A$505=Лист1!A381)*(Лист2!$B$2:$B$505=Лист1!B381),Лист2!$D$2:$D$505)</f>
        <v>532</v>
      </c>
      <c r="G381" cm="1">
        <f t="array" ref="G381">_xlfn.XLOOKUP(1,(Лист2!$A$2:$A$505=Лист1!A381)*(Лист2!$B$2:$B$505=Лист1!B381),Лист2!$E$2:$E$505)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cm="1">
        <f t="array" ref="E382">_xlfn.XLOOKUP(1,(Лист2!$A$2:$A$505=Лист1!A382)*(Лист2!$B$2:$B$505=Лист1!B382),Лист2!$C$2:$C$505)</f>
        <v>15</v>
      </c>
      <c r="F382" cm="1">
        <f t="array" ref="F382">_xlfn.XLOOKUP(1,(Лист2!$A$2:$A$505=Лист1!A382)*(Лист2!$B$2:$B$505=Лист1!B382),Лист2!$D$2:$D$505)</f>
        <v>400</v>
      </c>
      <c r="G382" cm="1">
        <f t="array" ref="G382">_xlfn.XLOOKUP(1,(Лист2!$A$2:$A$505=Лист1!A382)*(Лист2!$B$2:$B$505=Лист1!B382),Лист2!$E$2:$E$505)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cm="1">
        <f t="array" ref="E383">_xlfn.XLOOKUP(1,(Лист2!$A$2:$A$505=Лист1!A383)*(Лист2!$B$2:$B$505=Лист1!B383),Лист2!$C$2:$C$505)</f>
        <v>7</v>
      </c>
      <c r="F383" cm="1">
        <f t="array" ref="F383">_xlfn.XLOOKUP(1,(Лист2!$A$2:$A$505=Лист1!A383)*(Лист2!$B$2:$B$505=Лист1!B383),Лист2!$D$2:$D$505)</f>
        <v>420</v>
      </c>
      <c r="G383" cm="1">
        <f t="array" ref="G383">_xlfn.XLOOKUP(1,(Лист2!$A$2:$A$505=Лист1!A383)*(Лист2!$B$2:$B$505=Лист1!B383),Лист2!$E$2:$E$505)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cm="1">
        <f t="array" ref="E384">_xlfn.XLOOKUP(1,(Лист2!$A$2:$A$505=Лист1!A384)*(Лист2!$B$2:$B$505=Лист1!B384),Лист2!$C$2:$C$505)</f>
        <v>20</v>
      </c>
      <c r="F384" cm="1">
        <f t="array" ref="F384">_xlfn.XLOOKUP(1,(Лист2!$A$2:$A$505=Лист1!A384)*(Лист2!$B$2:$B$505=Лист1!B384),Лист2!$D$2:$D$505)</f>
        <v>2079</v>
      </c>
      <c r="G384" cm="1">
        <f t="array" ref="G384">_xlfn.XLOOKUP(1,(Лист2!$A$2:$A$505=Лист1!A384)*(Лист2!$B$2:$B$505=Лист1!B384),Лист2!$E$2:$E$505)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cm="1">
        <f t="array" ref="E385">_xlfn.XLOOKUP(1,(Лист2!$A$2:$A$505=Лист1!A385)*(Лист2!$B$2:$B$505=Лист1!B385),Лист2!$C$2:$C$505)</f>
        <v>21</v>
      </c>
      <c r="F385" cm="1">
        <f t="array" ref="F385">_xlfn.XLOOKUP(1,(Лист2!$A$2:$A$505=Лист1!A385)*(Лист2!$B$2:$B$505=Лист1!B385),Лист2!$D$2:$D$505)</f>
        <v>2046</v>
      </c>
      <c r="G385" cm="1">
        <f t="array" ref="G385">_xlfn.XLOOKUP(1,(Лист2!$A$2:$A$505=Лист1!A385)*(Лист2!$B$2:$B$505=Лист1!B385),Лист2!$E$2:$E$505)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cm="1">
        <f t="array" ref="E386">_xlfn.XLOOKUP(1,(Лист2!$A$2:$A$505=Лист1!A386)*(Лист2!$B$2:$B$505=Лист1!B386),Лист2!$C$2:$C$505)</f>
        <v>6</v>
      </c>
      <c r="F386" cm="1">
        <f t="array" ref="F386">_xlfn.XLOOKUP(1,(Лист2!$A$2:$A$505=Лист1!A386)*(Лист2!$B$2:$B$505=Лист1!B386),Лист2!$D$2:$D$505)</f>
        <v>261</v>
      </c>
      <c r="G386" cm="1">
        <f t="array" ref="G386">_xlfn.XLOOKUP(1,(Лист2!$A$2:$A$505=Лист1!A386)*(Лист2!$B$2:$B$505=Лист1!B386),Лист2!$E$2:$E$505)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cm="1">
        <f t="array" ref="E387">_xlfn.XLOOKUP(1,(Лист2!$A$2:$A$505=Лист1!A387)*(Лист2!$B$2:$B$505=Лист1!B387),Лист2!$C$2:$C$505)</f>
        <v>21</v>
      </c>
      <c r="F387" cm="1">
        <f t="array" ref="F387">_xlfn.XLOOKUP(1,(Лист2!$A$2:$A$505=Лист1!A387)*(Лист2!$B$2:$B$505=Лист1!B387),Лист2!$D$2:$D$505)</f>
        <v>1597</v>
      </c>
      <c r="G387" cm="1">
        <f t="array" ref="G387">_xlfn.XLOOKUP(1,(Лист2!$A$2:$A$505=Лист1!A387)*(Лист2!$B$2:$B$505=Лист1!B387),Лист2!$E$2:$E$505)</f>
        <v>1457</v>
      </c>
      <c r="H387">
        <f t="shared" ref="H387:H450" si="12">D387/E387</f>
        <v>118066.5</v>
      </c>
      <c r="I387">
        <f t="shared" ref="I387:I450" si="13">WEEKNUM(A387, 2)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cm="1">
        <f t="array" ref="E388">_xlfn.XLOOKUP(1,(Лист2!$A$2:$A$505=Лист1!A388)*(Лист2!$B$2:$B$505=Лист1!B388),Лист2!$C$2:$C$505)</f>
        <v>18</v>
      </c>
      <c r="F388" cm="1">
        <f t="array" ref="F388">_xlfn.XLOOKUP(1,(Лист2!$A$2:$A$505=Лист1!A388)*(Лист2!$B$2:$B$505=Лист1!B388),Лист2!$D$2:$D$505)</f>
        <v>1216</v>
      </c>
      <c r="G388" cm="1">
        <f t="array" ref="G388">_xlfn.XLOOKUP(1,(Лист2!$A$2:$A$505=Лист1!A388)*(Лист2!$B$2:$B$505=Лист1!B388),Лист2!$E$2:$E$505)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cm="1">
        <f t="array" ref="E389">_xlfn.XLOOKUP(1,(Лист2!$A$2:$A$505=Лист1!A389)*(Лист2!$B$2:$B$505=Лист1!B389),Лист2!$C$2:$C$505)</f>
        <v>18</v>
      </c>
      <c r="F389" cm="1">
        <f t="array" ref="F389">_xlfn.XLOOKUP(1,(Лист2!$A$2:$A$505=Лист1!A389)*(Лист2!$B$2:$B$505=Лист1!B389),Лист2!$D$2:$D$505)</f>
        <v>1020</v>
      </c>
      <c r="G389" cm="1">
        <f t="array" ref="G389">_xlfn.XLOOKUP(1,(Лист2!$A$2:$A$505=Лист1!A389)*(Лист2!$B$2:$B$505=Лист1!B389),Лист2!$E$2:$E$505)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cm="1">
        <f t="array" ref="E390">_xlfn.XLOOKUP(1,(Лист2!$A$2:$A$505=Лист1!A390)*(Лист2!$B$2:$B$505=Лист1!B390),Лист2!$C$2:$C$505)</f>
        <v>21</v>
      </c>
      <c r="F390" cm="1">
        <f t="array" ref="F390">_xlfn.XLOOKUP(1,(Лист2!$A$2:$A$505=Лист1!A390)*(Лист2!$B$2:$B$505=Лист1!B390),Лист2!$D$2:$D$505)</f>
        <v>1834</v>
      </c>
      <c r="G390" cm="1">
        <f t="array" ref="G390">_xlfn.XLOOKUP(1,(Лист2!$A$2:$A$505=Лист1!A390)*(Лист2!$B$2:$B$505=Лист1!B390),Лист2!$E$2:$E$505)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cm="1">
        <f t="array" ref="E391">_xlfn.XLOOKUP(1,(Лист2!$A$2:$A$505=Лист1!A391)*(Лист2!$B$2:$B$505=Лист1!B391),Лист2!$C$2:$C$505)</f>
        <v>21</v>
      </c>
      <c r="F391" cm="1">
        <f t="array" ref="F391">_xlfn.XLOOKUP(1,(Лист2!$A$2:$A$505=Лист1!A391)*(Лист2!$B$2:$B$505=Лист1!B391),Лист2!$D$2:$D$505)</f>
        <v>1706</v>
      </c>
      <c r="G391" cm="1">
        <f t="array" ref="G391">_xlfn.XLOOKUP(1,(Лист2!$A$2:$A$505=Лист1!A391)*(Лист2!$B$2:$B$505=Лист1!B391),Лист2!$E$2:$E$505)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cm="1">
        <f t="array" ref="E392">_xlfn.XLOOKUP(1,(Лист2!$A$2:$A$505=Лист1!A392)*(Лист2!$B$2:$B$505=Лист1!B392),Лист2!$C$2:$C$505)</f>
        <v>21</v>
      </c>
      <c r="F392" cm="1">
        <f t="array" ref="F392">_xlfn.XLOOKUP(1,(Лист2!$A$2:$A$505=Лист1!A392)*(Лист2!$B$2:$B$505=Лист1!B392),Лист2!$D$2:$D$505)</f>
        <v>1926</v>
      </c>
      <c r="G392" cm="1">
        <f t="array" ref="G392">_xlfn.XLOOKUP(1,(Лист2!$A$2:$A$505=Лист1!A392)*(Лист2!$B$2:$B$505=Лист1!B392),Лист2!$E$2:$E$505)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cm="1">
        <f t="array" ref="E393">_xlfn.XLOOKUP(1,(Лист2!$A$2:$A$505=Лист1!A393)*(Лист2!$B$2:$B$505=Лист1!B393),Лист2!$C$2:$C$505)</f>
        <v>21</v>
      </c>
      <c r="F393" cm="1">
        <f t="array" ref="F393">_xlfn.XLOOKUP(1,(Лист2!$A$2:$A$505=Лист1!A393)*(Лист2!$B$2:$B$505=Лист1!B393),Лист2!$D$2:$D$505)</f>
        <v>2025</v>
      </c>
      <c r="G393" cm="1">
        <f t="array" ref="G393">_xlfn.XLOOKUP(1,(Лист2!$A$2:$A$505=Лист1!A393)*(Лист2!$B$2:$B$505=Лист1!B393),Лист2!$E$2:$E$505)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cm="1">
        <f t="array" ref="E394">_xlfn.XLOOKUP(1,(Лист2!$A$2:$A$505=Лист1!A394)*(Лист2!$B$2:$B$505=Лист1!B394),Лист2!$C$2:$C$505)</f>
        <v>7</v>
      </c>
      <c r="F394" cm="1">
        <f t="array" ref="F394">_xlfn.XLOOKUP(1,(Лист2!$A$2:$A$505=Лист1!A394)*(Лист2!$B$2:$B$505=Лист1!B394),Лист2!$D$2:$D$505)</f>
        <v>530</v>
      </c>
      <c r="G394" cm="1">
        <f t="array" ref="G394">_xlfn.XLOOKUP(1,(Лист2!$A$2:$A$505=Лист1!A394)*(Лист2!$B$2:$B$505=Лист1!B394),Лист2!$E$2:$E$505)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cm="1">
        <f t="array" ref="E395">_xlfn.XLOOKUP(1,(Лист2!$A$2:$A$505=Лист1!A395)*(Лист2!$B$2:$B$505=Лист1!B395),Лист2!$C$2:$C$505)</f>
        <v>20</v>
      </c>
      <c r="F395" cm="1">
        <f t="array" ref="F395">_xlfn.XLOOKUP(1,(Лист2!$A$2:$A$505=Лист1!A395)*(Лист2!$B$2:$B$505=Лист1!B395),Лист2!$D$2:$D$505)</f>
        <v>2111</v>
      </c>
      <c r="G395" cm="1">
        <f t="array" ref="G395">_xlfn.XLOOKUP(1,(Лист2!$A$2:$A$505=Лист1!A395)*(Лист2!$B$2:$B$505=Лист1!B395),Лист2!$E$2:$E$505)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cm="1">
        <f t="array" ref="E396">_xlfn.XLOOKUP(1,(Лист2!$A$2:$A$505=Лист1!A396)*(Лист2!$B$2:$B$505=Лист1!B396),Лист2!$C$2:$C$505)</f>
        <v>31</v>
      </c>
      <c r="F396" cm="1">
        <f t="array" ref="F396">_xlfn.XLOOKUP(1,(Лист2!$A$2:$A$505=Лист1!A396)*(Лист2!$B$2:$B$505=Лист1!B396),Лист2!$D$2:$D$505)</f>
        <v>5330</v>
      </c>
      <c r="G396" cm="1">
        <f t="array" ref="G396">_xlfn.XLOOKUP(1,(Лист2!$A$2:$A$505=Лист1!A396)*(Лист2!$B$2:$B$505=Лист1!B396),Лист2!$E$2:$E$505)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cm="1">
        <f t="array" ref="E397">_xlfn.XLOOKUP(1,(Лист2!$A$2:$A$505=Лист1!A397)*(Лист2!$B$2:$B$505=Лист1!B397),Лист2!$C$2:$C$505)</f>
        <v>31</v>
      </c>
      <c r="F397" cm="1">
        <f t="array" ref="F397">_xlfn.XLOOKUP(1,(Лист2!$A$2:$A$505=Лист1!A397)*(Лист2!$B$2:$B$505=Лист1!B397),Лист2!$D$2:$D$505)</f>
        <v>5965</v>
      </c>
      <c r="G397" cm="1">
        <f t="array" ref="G397">_xlfn.XLOOKUP(1,(Лист2!$A$2:$A$505=Лист1!A397)*(Лист2!$B$2:$B$505=Лист1!B397),Лист2!$E$2:$E$505)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cm="1">
        <f t="array" ref="E398">_xlfn.XLOOKUP(1,(Лист2!$A$2:$A$505=Лист1!A398)*(Лист2!$B$2:$B$505=Лист1!B398),Лист2!$C$2:$C$505)</f>
        <v>31</v>
      </c>
      <c r="F398" cm="1">
        <f t="array" ref="F398">_xlfn.XLOOKUP(1,(Лист2!$A$2:$A$505=Лист1!A398)*(Лист2!$B$2:$B$505=Лист1!B398),Лист2!$D$2:$D$505)</f>
        <v>5468</v>
      </c>
      <c r="G398" cm="1">
        <f t="array" ref="G398">_xlfn.XLOOKUP(1,(Лист2!$A$2:$A$505=Лист1!A398)*(Лист2!$B$2:$B$505=Лист1!B398),Лист2!$E$2:$E$505)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cm="1">
        <f t="array" ref="E399">_xlfn.XLOOKUP(1,(Лист2!$A$2:$A$505=Лист1!A399)*(Лист2!$B$2:$B$505=Лист1!B399),Лист2!$C$2:$C$505)</f>
        <v>18</v>
      </c>
      <c r="F399" cm="1">
        <f t="array" ref="F399">_xlfn.XLOOKUP(1,(Лист2!$A$2:$A$505=Лист1!A399)*(Лист2!$B$2:$B$505=Лист1!B399),Лист2!$D$2:$D$505)</f>
        <v>1029</v>
      </c>
      <c r="G399" cm="1">
        <f t="array" ref="G399">_xlfn.XLOOKUP(1,(Лист2!$A$2:$A$505=Лист1!A399)*(Лист2!$B$2:$B$505=Лист1!B399),Лист2!$E$2:$E$505)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cm="1">
        <f t="array" ref="E400">_xlfn.XLOOKUP(1,(Лист2!$A$2:$A$505=Лист1!A400)*(Лист2!$B$2:$B$505=Лист1!B400),Лист2!$C$2:$C$505)</f>
        <v>31</v>
      </c>
      <c r="F400" cm="1">
        <f t="array" ref="F400">_xlfn.XLOOKUP(1,(Лист2!$A$2:$A$505=Лист1!A400)*(Лист2!$B$2:$B$505=Лист1!B400),Лист2!$D$2:$D$505)</f>
        <v>4826</v>
      </c>
      <c r="G400" cm="1">
        <f t="array" ref="G400">_xlfn.XLOOKUP(1,(Лист2!$A$2:$A$505=Лист1!A400)*(Лист2!$B$2:$B$505=Лист1!B400),Лист2!$E$2:$E$505)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cm="1">
        <f t="array" ref="E401">_xlfn.XLOOKUP(1,(Лист2!$A$2:$A$505=Лист1!A401)*(Лист2!$B$2:$B$505=Лист1!B401),Лист2!$C$2:$C$505)</f>
        <v>31</v>
      </c>
      <c r="F401" cm="1">
        <f t="array" ref="F401">_xlfn.XLOOKUP(1,(Лист2!$A$2:$A$505=Лист1!A401)*(Лист2!$B$2:$B$505=Лист1!B401),Лист2!$D$2:$D$505)</f>
        <v>5165</v>
      </c>
      <c r="G401" cm="1">
        <f t="array" ref="G401">_xlfn.XLOOKUP(1,(Лист2!$A$2:$A$505=Лист1!A401)*(Лист2!$B$2:$B$505=Лист1!B401),Лист2!$E$2:$E$505)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cm="1">
        <f t="array" ref="E402">_xlfn.XLOOKUP(1,(Лист2!$A$2:$A$505=Лист1!A402)*(Лист2!$B$2:$B$505=Лист1!B402),Лист2!$C$2:$C$505)</f>
        <v>31</v>
      </c>
      <c r="F402" cm="1">
        <f t="array" ref="F402">_xlfn.XLOOKUP(1,(Лист2!$A$2:$A$505=Лист1!A402)*(Лист2!$B$2:$B$505=Лист1!B402),Лист2!$D$2:$D$505)</f>
        <v>4695</v>
      </c>
      <c r="G402" cm="1">
        <f t="array" ref="G402">_xlfn.XLOOKUP(1,(Лист2!$A$2:$A$505=Лист1!A402)*(Лист2!$B$2:$B$505=Лист1!B402),Лист2!$E$2:$E$505)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cm="1">
        <f t="array" ref="E403">_xlfn.XLOOKUP(1,(Лист2!$A$2:$A$505=Лист1!A403)*(Лист2!$B$2:$B$505=Лист1!B403),Лист2!$C$2:$C$505)</f>
        <v>31</v>
      </c>
      <c r="F403" cm="1">
        <f t="array" ref="F403">_xlfn.XLOOKUP(1,(Лист2!$A$2:$A$505=Лист1!A403)*(Лист2!$B$2:$B$505=Лист1!B403),Лист2!$D$2:$D$505)</f>
        <v>5184</v>
      </c>
      <c r="G403" cm="1">
        <f t="array" ref="G403">_xlfn.XLOOKUP(1,(Лист2!$A$2:$A$505=Лист1!A403)*(Лист2!$B$2:$B$505=Лист1!B403),Лист2!$E$2:$E$505)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cm="1">
        <f t="array" ref="E404">_xlfn.XLOOKUP(1,(Лист2!$A$2:$A$505=Лист1!A404)*(Лист2!$B$2:$B$505=Лист1!B404),Лист2!$C$2:$C$505)</f>
        <v>10</v>
      </c>
      <c r="F404" cm="1">
        <f t="array" ref="F404">_xlfn.XLOOKUP(1,(Лист2!$A$2:$A$505=Лист1!A404)*(Лист2!$B$2:$B$505=Лист1!B404),Лист2!$D$2:$D$505)</f>
        <v>757</v>
      </c>
      <c r="G404" cm="1">
        <f t="array" ref="G404">_xlfn.XLOOKUP(1,(Лист2!$A$2:$A$505=Лист1!A404)*(Лист2!$B$2:$B$505=Лист1!B404),Лист2!$E$2:$E$505)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cm="1">
        <f t="array" ref="E405">_xlfn.XLOOKUP(1,(Лист2!$A$2:$A$505=Лист1!A405)*(Лист2!$B$2:$B$505=Лист1!B405),Лист2!$C$2:$C$505)</f>
        <v>10</v>
      </c>
      <c r="F405" cm="1">
        <f t="array" ref="F405">_xlfn.XLOOKUP(1,(Лист2!$A$2:$A$505=Лист1!A405)*(Лист2!$B$2:$B$505=Лист1!B405),Лист2!$D$2:$D$505)</f>
        <v>965</v>
      </c>
      <c r="G405" cm="1">
        <f t="array" ref="G405">_xlfn.XLOOKUP(1,(Лист2!$A$2:$A$505=Лист1!A405)*(Лист2!$B$2:$B$505=Лист1!B405),Лист2!$E$2:$E$505)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cm="1">
        <f t="array" ref="E406">_xlfn.XLOOKUP(1,(Лист2!$A$2:$A$505=Лист1!A406)*(Лист2!$B$2:$B$505=Лист1!B406),Лист2!$C$2:$C$505)</f>
        <v>10</v>
      </c>
      <c r="F406" cm="1">
        <f t="array" ref="F406">_xlfn.XLOOKUP(1,(Лист2!$A$2:$A$505=Лист1!A406)*(Лист2!$B$2:$B$505=Лист1!B406),Лист2!$D$2:$D$505)</f>
        <v>719</v>
      </c>
      <c r="G406" cm="1">
        <f t="array" ref="G406">_xlfn.XLOOKUP(1,(Лист2!$A$2:$A$505=Лист1!A406)*(Лист2!$B$2:$B$505=Лист1!B406),Лист2!$E$2:$E$505)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cm="1">
        <f t="array" ref="E407">_xlfn.XLOOKUP(1,(Лист2!$A$2:$A$505=Лист1!A407)*(Лист2!$B$2:$B$505=Лист1!B407),Лист2!$C$2:$C$505)</f>
        <v>10</v>
      </c>
      <c r="F407" cm="1">
        <f t="array" ref="F407">_xlfn.XLOOKUP(1,(Лист2!$A$2:$A$505=Лист1!A407)*(Лист2!$B$2:$B$505=Лист1!B407),Лист2!$D$2:$D$505)</f>
        <v>494</v>
      </c>
      <c r="G407" cm="1">
        <f t="array" ref="G407">_xlfn.XLOOKUP(1,(Лист2!$A$2:$A$505=Лист1!A407)*(Лист2!$B$2:$B$505=Лист1!B407),Лист2!$E$2:$E$505)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cm="1">
        <f t="array" ref="E408">_xlfn.XLOOKUP(1,(Лист2!$A$2:$A$505=Лист1!A408)*(Лист2!$B$2:$B$505=Лист1!B408),Лист2!$C$2:$C$505)</f>
        <v>31</v>
      </c>
      <c r="F408" cm="1">
        <f t="array" ref="F408">_xlfn.XLOOKUP(1,(Лист2!$A$2:$A$505=Лист1!A408)*(Лист2!$B$2:$B$505=Лист1!B408),Лист2!$D$2:$D$505)</f>
        <v>5751</v>
      </c>
      <c r="G408" cm="1">
        <f t="array" ref="G408">_xlfn.XLOOKUP(1,(Лист2!$A$2:$A$505=Лист1!A408)*(Лист2!$B$2:$B$505=Лист1!B408),Лист2!$E$2:$E$505)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cm="1">
        <f t="array" ref="E409">_xlfn.XLOOKUP(1,(Лист2!$A$2:$A$505=Лист1!A409)*(Лист2!$B$2:$B$505=Лист1!B409),Лист2!$C$2:$C$505)</f>
        <v>10</v>
      </c>
      <c r="F409" cm="1">
        <f t="array" ref="F409">_xlfn.XLOOKUP(1,(Лист2!$A$2:$A$505=Лист1!A409)*(Лист2!$B$2:$B$505=Лист1!B409),Лист2!$D$2:$D$505)</f>
        <v>645</v>
      </c>
      <c r="G409" cm="1">
        <f t="array" ref="G409">_xlfn.XLOOKUP(1,(Лист2!$A$2:$A$505=Лист1!A409)*(Лист2!$B$2:$B$505=Лист1!B409),Лист2!$E$2:$E$505)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cm="1">
        <f t="array" ref="E410">_xlfn.XLOOKUP(1,(Лист2!$A$2:$A$505=Лист1!A410)*(Лист2!$B$2:$B$505=Лист1!B410),Лист2!$C$2:$C$505)</f>
        <v>10</v>
      </c>
      <c r="F410" cm="1">
        <f t="array" ref="F410">_xlfn.XLOOKUP(1,(Лист2!$A$2:$A$505=Лист1!A410)*(Лист2!$B$2:$B$505=Лист1!B410),Лист2!$D$2:$D$505)</f>
        <v>627</v>
      </c>
      <c r="G410" cm="1">
        <f t="array" ref="G410">_xlfn.XLOOKUP(1,(Лист2!$A$2:$A$505=Лист1!A410)*(Лист2!$B$2:$B$505=Лист1!B410),Лист2!$E$2:$E$505)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cm="1">
        <f t="array" ref="E411">_xlfn.XLOOKUP(1,(Лист2!$A$2:$A$505=Лист1!A411)*(Лист2!$B$2:$B$505=Лист1!B411),Лист2!$C$2:$C$505)</f>
        <v>10</v>
      </c>
      <c r="F411" cm="1">
        <f t="array" ref="F411">_xlfn.XLOOKUP(1,(Лист2!$A$2:$A$505=Лист1!A411)*(Лист2!$B$2:$B$505=Лист1!B411),Лист2!$D$2:$D$505)</f>
        <v>743</v>
      </c>
      <c r="G411" cm="1">
        <f t="array" ref="G411">_xlfn.XLOOKUP(1,(Лист2!$A$2:$A$505=Лист1!A411)*(Лист2!$B$2:$B$505=Лист1!B411),Лист2!$E$2:$E$505)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cm="1">
        <f t="array" ref="E412">_xlfn.XLOOKUP(1,(Лист2!$A$2:$A$505=Лист1!A412)*(Лист2!$B$2:$B$505=Лист1!B412),Лист2!$C$2:$C$505)</f>
        <v>10</v>
      </c>
      <c r="F412" cm="1">
        <f t="array" ref="F412">_xlfn.XLOOKUP(1,(Лист2!$A$2:$A$505=Лист1!A412)*(Лист2!$B$2:$B$505=Лист1!B412),Лист2!$D$2:$D$505)</f>
        <v>873</v>
      </c>
      <c r="G412" cm="1">
        <f t="array" ref="G412">_xlfn.XLOOKUP(1,(Лист2!$A$2:$A$505=Лист1!A412)*(Лист2!$B$2:$B$505=Лист1!B412),Лист2!$E$2:$E$505)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cm="1">
        <f t="array" ref="E413">_xlfn.XLOOKUP(1,(Лист2!$A$2:$A$505=Лист1!A413)*(Лист2!$B$2:$B$505=Лист1!B413),Лист2!$C$2:$C$505)</f>
        <v>20</v>
      </c>
      <c r="F413" cm="1">
        <f t="array" ref="F413">_xlfn.XLOOKUP(1,(Лист2!$A$2:$A$505=Лист1!A413)*(Лист2!$B$2:$B$505=Лист1!B413),Лист2!$D$2:$D$505)</f>
        <v>2079</v>
      </c>
      <c r="G413" cm="1">
        <f t="array" ref="G413">_xlfn.XLOOKUP(1,(Лист2!$A$2:$A$505=Лист1!A413)*(Лист2!$B$2:$B$505=Лист1!B413),Лист2!$E$2:$E$505)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cm="1">
        <f t="array" ref="E414">_xlfn.XLOOKUP(1,(Лист2!$A$2:$A$505=Лист1!A414)*(Лист2!$B$2:$B$505=Лист1!B414),Лист2!$C$2:$C$505)</f>
        <v>20</v>
      </c>
      <c r="F414" cm="1">
        <f t="array" ref="F414">_xlfn.XLOOKUP(1,(Лист2!$A$2:$A$505=Лист1!A414)*(Лист2!$B$2:$B$505=Лист1!B414),Лист2!$D$2:$D$505)</f>
        <v>2306</v>
      </c>
      <c r="G414" cm="1">
        <f t="array" ref="G414">_xlfn.XLOOKUP(1,(Лист2!$A$2:$A$505=Лист1!A414)*(Лист2!$B$2:$B$505=Лист1!B414),Лист2!$E$2:$E$505)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cm="1">
        <f t="array" ref="E415">_xlfn.XLOOKUP(1,(Лист2!$A$2:$A$505=Лист1!A415)*(Лист2!$B$2:$B$505=Лист1!B415),Лист2!$C$2:$C$505)</f>
        <v>20</v>
      </c>
      <c r="F415" cm="1">
        <f t="array" ref="F415">_xlfn.XLOOKUP(1,(Лист2!$A$2:$A$505=Лист1!A415)*(Лист2!$B$2:$B$505=Лист1!B415),Лист2!$D$2:$D$505)</f>
        <v>2136</v>
      </c>
      <c r="G415" cm="1">
        <f t="array" ref="G415">_xlfn.XLOOKUP(1,(Лист2!$A$2:$A$505=Лист1!A415)*(Лист2!$B$2:$B$505=Лист1!B415),Лист2!$E$2:$E$505)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cm="1">
        <f t="array" ref="E416">_xlfn.XLOOKUP(1,(Лист2!$A$2:$A$505=Лист1!A416)*(Лист2!$B$2:$B$505=Лист1!B416),Лист2!$C$2:$C$505)</f>
        <v>19</v>
      </c>
      <c r="F416" cm="1">
        <f t="array" ref="F416">_xlfn.XLOOKUP(1,(Лист2!$A$2:$A$505=Лист1!A416)*(Лист2!$B$2:$B$505=Лист1!B416),Лист2!$D$2:$D$505)</f>
        <v>2530</v>
      </c>
      <c r="G416" cm="1">
        <f t="array" ref="G416">_xlfn.XLOOKUP(1,(Лист2!$A$2:$A$505=Лист1!A416)*(Лист2!$B$2:$B$505=Лист1!B416),Лист2!$E$2:$E$505)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cm="1">
        <f t="array" ref="E417">_xlfn.XLOOKUP(1,(Лист2!$A$2:$A$505=Лист1!A417)*(Лист2!$B$2:$B$505=Лист1!B417),Лист2!$C$2:$C$505)</f>
        <v>19</v>
      </c>
      <c r="F417" cm="1">
        <f t="array" ref="F417">_xlfn.XLOOKUP(1,(Лист2!$A$2:$A$505=Лист1!A417)*(Лист2!$B$2:$B$505=Лист1!B417),Лист2!$D$2:$D$505)</f>
        <v>1858</v>
      </c>
      <c r="G417" cm="1">
        <f t="array" ref="G417">_xlfn.XLOOKUP(1,(Лист2!$A$2:$A$505=Лист1!A417)*(Лист2!$B$2:$B$505=Лист1!B417),Лист2!$E$2:$E$505)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cm="1">
        <f t="array" ref="E418">_xlfn.XLOOKUP(1,(Лист2!$A$2:$A$505=Лист1!A418)*(Лист2!$B$2:$B$505=Лист1!B418),Лист2!$C$2:$C$505)</f>
        <v>19</v>
      </c>
      <c r="F418" cm="1">
        <f t="array" ref="F418">_xlfn.XLOOKUP(1,(Лист2!$A$2:$A$505=Лист1!A418)*(Лист2!$B$2:$B$505=Лист1!B418),Лист2!$D$2:$D$505)</f>
        <v>1675</v>
      </c>
      <c r="G418" cm="1">
        <f t="array" ref="G418">_xlfn.XLOOKUP(1,(Лист2!$A$2:$A$505=Лист1!A418)*(Лист2!$B$2:$B$505=Лист1!B418),Лист2!$E$2:$E$505)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cm="1">
        <f t="array" ref="E419">_xlfn.XLOOKUP(1,(Лист2!$A$2:$A$505=Лист1!A419)*(Лист2!$B$2:$B$505=Лист1!B419),Лист2!$C$2:$C$505)</f>
        <v>19</v>
      </c>
      <c r="F419" cm="1">
        <f t="array" ref="F419">_xlfn.XLOOKUP(1,(Лист2!$A$2:$A$505=Лист1!A419)*(Лист2!$B$2:$B$505=Лист1!B419),Лист2!$D$2:$D$505)</f>
        <v>1940</v>
      </c>
      <c r="G419" cm="1">
        <f t="array" ref="G419">_xlfn.XLOOKUP(1,(Лист2!$A$2:$A$505=Лист1!A419)*(Лист2!$B$2:$B$505=Лист1!B419),Лист2!$E$2:$E$505)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cm="1">
        <f t="array" ref="E420">_xlfn.XLOOKUP(1,(Лист2!$A$2:$A$505=Лист1!A420)*(Лист2!$B$2:$B$505=Лист1!B420),Лист2!$C$2:$C$505)</f>
        <v>20</v>
      </c>
      <c r="F420" cm="1">
        <f t="array" ref="F420">_xlfn.XLOOKUP(1,(Лист2!$A$2:$A$505=Лист1!A420)*(Лист2!$B$2:$B$505=Лист1!B420),Лист2!$D$2:$D$505)</f>
        <v>2249</v>
      </c>
      <c r="G420" cm="1">
        <f t="array" ref="G420">_xlfn.XLOOKUP(1,(Лист2!$A$2:$A$505=Лист1!A420)*(Лист2!$B$2:$B$505=Лист1!B420),Лист2!$E$2:$E$505)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cm="1">
        <f t="array" ref="E421">_xlfn.XLOOKUP(1,(Лист2!$A$2:$A$505=Лист1!A421)*(Лист2!$B$2:$B$505=Лист1!B421),Лист2!$C$2:$C$505)</f>
        <v>129</v>
      </c>
      <c r="F421" cm="1">
        <f t="array" ref="F421">_xlfn.XLOOKUP(1,(Лист2!$A$2:$A$505=Лист1!A421)*(Лист2!$B$2:$B$505=Лист1!B421),Лист2!$D$2:$D$505)</f>
        <v>17115</v>
      </c>
      <c r="G421" cm="1">
        <f t="array" ref="G421">_xlfn.XLOOKUP(1,(Лист2!$A$2:$A$505=Лист1!A421)*(Лист2!$B$2:$B$505=Лист1!B421),Лист2!$E$2:$E$505)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cm="1">
        <f t="array" ref="E422">_xlfn.XLOOKUP(1,(Лист2!$A$2:$A$505=Лист1!A422)*(Лист2!$B$2:$B$505=Лист1!B422),Лист2!$C$2:$C$505)</f>
        <v>129</v>
      </c>
      <c r="F422" cm="1">
        <f t="array" ref="F422">_xlfn.XLOOKUP(1,(Лист2!$A$2:$A$505=Лист1!A422)*(Лист2!$B$2:$B$505=Лист1!B422),Лист2!$D$2:$D$505)</f>
        <v>17088</v>
      </c>
      <c r="G422" cm="1">
        <f t="array" ref="G422">_xlfn.XLOOKUP(1,(Лист2!$A$2:$A$505=Лист1!A422)*(Лист2!$B$2:$B$505=Лист1!B422),Лист2!$E$2:$E$505)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cm="1">
        <f t="array" ref="E423">_xlfn.XLOOKUP(1,(Лист2!$A$2:$A$505=Лист1!A423)*(Лист2!$B$2:$B$505=Лист1!B423),Лист2!$C$2:$C$505)</f>
        <v>128</v>
      </c>
      <c r="F423" cm="1">
        <f t="array" ref="F423">_xlfn.XLOOKUP(1,(Лист2!$A$2:$A$505=Лист1!A423)*(Лист2!$B$2:$B$505=Лист1!B423),Лист2!$D$2:$D$505)</f>
        <v>16285</v>
      </c>
      <c r="G423" cm="1">
        <f t="array" ref="G423">_xlfn.XLOOKUP(1,(Лист2!$A$2:$A$505=Лист1!A423)*(Лист2!$B$2:$B$505=Лист1!B423),Лист2!$E$2:$E$505)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cm="1">
        <f t="array" ref="E424">_xlfn.XLOOKUP(1,(Лист2!$A$2:$A$505=Лист1!A424)*(Лист2!$B$2:$B$505=Лист1!B424),Лист2!$C$2:$C$505)</f>
        <v>129</v>
      </c>
      <c r="F424" cm="1">
        <f t="array" ref="F424">_xlfn.XLOOKUP(1,(Лист2!$A$2:$A$505=Лист1!A424)*(Лист2!$B$2:$B$505=Лист1!B424),Лист2!$D$2:$D$505)</f>
        <v>14043</v>
      </c>
      <c r="G424" cm="1">
        <f t="array" ref="G424">_xlfn.XLOOKUP(1,(Лист2!$A$2:$A$505=Лист1!A424)*(Лист2!$B$2:$B$505=Лист1!B424),Лист2!$E$2:$E$505)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cm="1">
        <f t="array" ref="E425">_xlfn.XLOOKUP(1,(Лист2!$A$2:$A$505=Лист1!A425)*(Лист2!$B$2:$B$505=Лист1!B425),Лист2!$C$2:$C$505)</f>
        <v>129</v>
      </c>
      <c r="F425" cm="1">
        <f t="array" ref="F425">_xlfn.XLOOKUP(1,(Лист2!$A$2:$A$505=Лист1!A425)*(Лист2!$B$2:$B$505=Лист1!B425),Лист2!$D$2:$D$505)</f>
        <v>16110</v>
      </c>
      <c r="G425" cm="1">
        <f t="array" ref="G425">_xlfn.XLOOKUP(1,(Лист2!$A$2:$A$505=Лист1!A425)*(Лист2!$B$2:$B$505=Лист1!B425),Лист2!$E$2:$E$505)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cm="1">
        <f t="array" ref="E426">_xlfn.XLOOKUP(1,(Лист2!$A$2:$A$505=Лист1!A426)*(Лист2!$B$2:$B$505=Лист1!B426),Лист2!$C$2:$C$505)</f>
        <v>129</v>
      </c>
      <c r="F426" cm="1">
        <f t="array" ref="F426">_xlfn.XLOOKUP(1,(Лист2!$A$2:$A$505=Лист1!A426)*(Лист2!$B$2:$B$505=Лист1!B426),Лист2!$D$2:$D$505)</f>
        <v>15804</v>
      </c>
      <c r="G426" cm="1">
        <f t="array" ref="G426">_xlfn.XLOOKUP(1,(Лист2!$A$2:$A$505=Лист1!A426)*(Лист2!$B$2:$B$505=Лист1!B426),Лист2!$E$2:$E$505)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cm="1">
        <f t="array" ref="E427">_xlfn.XLOOKUP(1,(Лист2!$A$2:$A$505=Лист1!A427)*(Лист2!$B$2:$B$505=Лист1!B427),Лист2!$C$2:$C$505)</f>
        <v>129</v>
      </c>
      <c r="F427" cm="1">
        <f t="array" ref="F427">_xlfn.XLOOKUP(1,(Лист2!$A$2:$A$505=Лист1!A427)*(Лист2!$B$2:$B$505=Лист1!B427),Лист2!$D$2:$D$505)</f>
        <v>17808</v>
      </c>
      <c r="G427" cm="1">
        <f t="array" ref="G427">_xlfn.XLOOKUP(1,(Лист2!$A$2:$A$505=Лист1!A427)*(Лист2!$B$2:$B$505=Лист1!B427),Лист2!$E$2:$E$505)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cm="1">
        <f t="array" ref="E428">_xlfn.XLOOKUP(1,(Лист2!$A$2:$A$505=Лист1!A428)*(Лист2!$B$2:$B$505=Лист1!B428),Лист2!$C$2:$C$505)</f>
        <v>124</v>
      </c>
      <c r="F428" cm="1">
        <f t="array" ref="F428">_xlfn.XLOOKUP(1,(Лист2!$A$2:$A$505=Лист1!A428)*(Лист2!$B$2:$B$505=Лист1!B428),Лист2!$D$2:$D$505)</f>
        <v>21384</v>
      </c>
      <c r="G428" cm="1">
        <f t="array" ref="G428">_xlfn.XLOOKUP(1,(Лист2!$A$2:$A$505=Лист1!A428)*(Лист2!$B$2:$B$505=Лист1!B428),Лист2!$E$2:$E$505)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cm="1">
        <f t="array" ref="E429">_xlfn.XLOOKUP(1,(Лист2!$A$2:$A$505=Лист1!A429)*(Лист2!$B$2:$B$505=Лист1!B429),Лист2!$C$2:$C$505)</f>
        <v>125</v>
      </c>
      <c r="F429" cm="1">
        <f t="array" ref="F429">_xlfn.XLOOKUP(1,(Лист2!$A$2:$A$505=Лист1!A429)*(Лист2!$B$2:$B$505=Лист1!B429),Лист2!$D$2:$D$505)</f>
        <v>21427</v>
      </c>
      <c r="G429" cm="1">
        <f t="array" ref="G429">_xlfn.XLOOKUP(1,(Лист2!$A$2:$A$505=Лист1!A429)*(Лист2!$B$2:$B$505=Лист1!B429),Лист2!$E$2:$E$505)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cm="1">
        <f t="array" ref="E430">_xlfn.XLOOKUP(1,(Лист2!$A$2:$A$505=Лист1!A430)*(Лист2!$B$2:$B$505=Лист1!B430),Лист2!$C$2:$C$505)</f>
        <v>123</v>
      </c>
      <c r="F430" cm="1">
        <f t="array" ref="F430">_xlfn.XLOOKUP(1,(Лист2!$A$2:$A$505=Лист1!A430)*(Лист2!$B$2:$B$505=Лист1!B430),Лист2!$D$2:$D$505)</f>
        <v>20325</v>
      </c>
      <c r="G430" cm="1">
        <f t="array" ref="G430">_xlfn.XLOOKUP(1,(Лист2!$A$2:$A$505=Лист1!A430)*(Лист2!$B$2:$B$505=Лист1!B430),Лист2!$E$2:$E$505)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cm="1">
        <f t="array" ref="E431">_xlfn.XLOOKUP(1,(Лист2!$A$2:$A$505=Лист1!A431)*(Лист2!$B$2:$B$505=Лист1!B431),Лист2!$C$2:$C$505)</f>
        <v>125</v>
      </c>
      <c r="F431" cm="1">
        <f t="array" ref="F431">_xlfn.XLOOKUP(1,(Лист2!$A$2:$A$505=Лист1!A431)*(Лист2!$B$2:$B$505=Лист1!B431),Лист2!$D$2:$D$505)</f>
        <v>18066</v>
      </c>
      <c r="G431" cm="1">
        <f t="array" ref="G431">_xlfn.XLOOKUP(1,(Лист2!$A$2:$A$505=Лист1!A431)*(Лист2!$B$2:$B$505=Лист1!B431),Лист2!$E$2:$E$505)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cm="1">
        <f t="array" ref="E432">_xlfn.XLOOKUP(1,(Лист2!$A$2:$A$505=Лист1!A432)*(Лист2!$B$2:$B$505=Лист1!B432),Лист2!$C$2:$C$505)</f>
        <v>129</v>
      </c>
      <c r="F432" cm="1">
        <f t="array" ref="F432">_xlfn.XLOOKUP(1,(Лист2!$A$2:$A$505=Лист1!A432)*(Лист2!$B$2:$B$505=Лист1!B432),Лист2!$D$2:$D$505)</f>
        <v>22403</v>
      </c>
      <c r="G432" cm="1">
        <f t="array" ref="G432">_xlfn.XLOOKUP(1,(Лист2!$A$2:$A$505=Лист1!A432)*(Лист2!$B$2:$B$505=Лист1!B432),Лист2!$E$2:$E$505)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cm="1">
        <f t="array" ref="E433">_xlfn.XLOOKUP(1,(Лист2!$A$2:$A$505=Лист1!A433)*(Лист2!$B$2:$B$505=Лист1!B433),Лист2!$C$2:$C$505)</f>
        <v>125</v>
      </c>
      <c r="F433" cm="1">
        <f t="array" ref="F433">_xlfn.XLOOKUP(1,(Лист2!$A$2:$A$505=Лист1!A433)*(Лист2!$B$2:$B$505=Лист1!B433),Лист2!$D$2:$D$505)</f>
        <v>20449</v>
      </c>
      <c r="G433" cm="1">
        <f t="array" ref="G433">_xlfn.XLOOKUP(1,(Лист2!$A$2:$A$505=Лист1!A433)*(Лист2!$B$2:$B$505=Лист1!B433),Лист2!$E$2:$E$505)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cm="1">
        <f t="array" ref="E434">_xlfn.XLOOKUP(1,(Лист2!$A$2:$A$505=Лист1!A434)*(Лист2!$B$2:$B$505=Лист1!B434),Лист2!$C$2:$C$505)</f>
        <v>125</v>
      </c>
      <c r="F434" cm="1">
        <f t="array" ref="F434">_xlfn.XLOOKUP(1,(Лист2!$A$2:$A$505=Лист1!A434)*(Лист2!$B$2:$B$505=Лист1!B434),Лист2!$D$2:$D$505)</f>
        <v>20247</v>
      </c>
      <c r="G434" cm="1">
        <f t="array" ref="G434">_xlfn.XLOOKUP(1,(Лист2!$A$2:$A$505=Лист1!A434)*(Лист2!$B$2:$B$505=Лист1!B434),Лист2!$E$2:$E$505)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cm="1">
        <f t="array" ref="E435">_xlfn.XLOOKUP(1,(Лист2!$A$2:$A$505=Лист1!A435)*(Лист2!$B$2:$B$505=Лист1!B435),Лист2!$C$2:$C$505)</f>
        <v>125</v>
      </c>
      <c r="F435" cm="1">
        <f t="array" ref="F435">_xlfn.XLOOKUP(1,(Лист2!$A$2:$A$505=Лист1!A435)*(Лист2!$B$2:$B$505=Лист1!B435),Лист2!$D$2:$D$505)</f>
        <v>21862</v>
      </c>
      <c r="G435" cm="1">
        <f t="array" ref="G435">_xlfn.XLOOKUP(1,(Лист2!$A$2:$A$505=Лист1!A435)*(Лист2!$B$2:$B$505=Лист1!B435),Лист2!$E$2:$E$505)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cm="1">
        <f t="array" ref="E436">_xlfn.XLOOKUP(1,(Лист2!$A$2:$A$505=Лист1!A436)*(Лист2!$B$2:$B$505=Лист1!B436),Лист2!$C$2:$C$505)</f>
        <v>36</v>
      </c>
      <c r="F436" cm="1">
        <f t="array" ref="F436">_xlfn.XLOOKUP(1,(Лист2!$A$2:$A$505=Лист1!A436)*(Лист2!$B$2:$B$505=Лист1!B436),Лист2!$D$2:$D$505)</f>
        <v>4951</v>
      </c>
      <c r="G436" cm="1">
        <f t="array" ref="G436">_xlfn.XLOOKUP(1,(Лист2!$A$2:$A$505=Лист1!A436)*(Лист2!$B$2:$B$505=Лист1!B436),Лист2!$E$2:$E$505)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cm="1">
        <f t="array" ref="E437">_xlfn.XLOOKUP(1,(Лист2!$A$2:$A$505=Лист1!A437)*(Лист2!$B$2:$B$505=Лист1!B437),Лист2!$C$2:$C$505)</f>
        <v>36</v>
      </c>
      <c r="F437" cm="1">
        <f t="array" ref="F437">_xlfn.XLOOKUP(1,(Лист2!$A$2:$A$505=Лист1!A437)*(Лист2!$B$2:$B$505=Лист1!B437),Лист2!$D$2:$D$505)</f>
        <v>4857</v>
      </c>
      <c r="G437" cm="1">
        <f t="array" ref="G437">_xlfn.XLOOKUP(1,(Лист2!$A$2:$A$505=Лист1!A437)*(Лист2!$B$2:$B$505=Лист1!B437),Лист2!$E$2:$E$505)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cm="1">
        <f t="array" ref="E438">_xlfn.XLOOKUP(1,(Лист2!$A$2:$A$505=Лист1!A438)*(Лист2!$B$2:$B$505=Лист1!B438),Лист2!$C$2:$C$505)</f>
        <v>37</v>
      </c>
      <c r="F438" cm="1">
        <f t="array" ref="F438">_xlfn.XLOOKUP(1,(Лист2!$A$2:$A$505=Лист1!A438)*(Лист2!$B$2:$B$505=Лист1!B438),Лист2!$D$2:$D$505)</f>
        <v>4722</v>
      </c>
      <c r="G438" cm="1">
        <f t="array" ref="G438">_xlfn.XLOOKUP(1,(Лист2!$A$2:$A$505=Лист1!A438)*(Лист2!$B$2:$B$505=Лист1!B438),Лист2!$E$2:$E$505)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cm="1">
        <f t="array" ref="E439">_xlfn.XLOOKUP(1,(Лист2!$A$2:$A$505=Лист1!A439)*(Лист2!$B$2:$B$505=Лист1!B439),Лист2!$C$2:$C$505)</f>
        <v>36</v>
      </c>
      <c r="F439" cm="1">
        <f t="array" ref="F439">_xlfn.XLOOKUP(1,(Лист2!$A$2:$A$505=Лист1!A439)*(Лист2!$B$2:$B$505=Лист1!B439),Лист2!$D$2:$D$505)</f>
        <v>4150</v>
      </c>
      <c r="G439" cm="1">
        <f t="array" ref="G439">_xlfn.XLOOKUP(1,(Лист2!$A$2:$A$505=Лист1!A439)*(Лист2!$B$2:$B$505=Лист1!B439),Лист2!$E$2:$E$505)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cm="1">
        <f t="array" ref="E440">_xlfn.XLOOKUP(1,(Лист2!$A$2:$A$505=Лист1!A440)*(Лист2!$B$2:$B$505=Лист1!B440),Лист2!$C$2:$C$505)</f>
        <v>124</v>
      </c>
      <c r="F440" cm="1">
        <f t="array" ref="F440">_xlfn.XLOOKUP(1,(Лист2!$A$2:$A$505=Лист1!A440)*(Лист2!$B$2:$B$505=Лист1!B440),Лист2!$D$2:$D$505)</f>
        <v>25828</v>
      </c>
      <c r="G440" cm="1">
        <f t="array" ref="G440">_xlfn.XLOOKUP(1,(Лист2!$A$2:$A$505=Лист1!A440)*(Лист2!$B$2:$B$505=Лист1!B440),Лист2!$E$2:$E$505)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cm="1">
        <f t="array" ref="E441">_xlfn.XLOOKUP(1,(Лист2!$A$2:$A$505=Лист1!A441)*(Лист2!$B$2:$B$505=Лист1!B441),Лист2!$C$2:$C$505)</f>
        <v>36</v>
      </c>
      <c r="F441" cm="1">
        <f t="array" ref="F441">_xlfn.XLOOKUP(1,(Лист2!$A$2:$A$505=Лист1!A441)*(Лист2!$B$2:$B$505=Лист1!B441),Лист2!$D$2:$D$505)</f>
        <v>4885</v>
      </c>
      <c r="G441" cm="1">
        <f t="array" ref="G441">_xlfn.XLOOKUP(1,(Лист2!$A$2:$A$505=Лист1!A441)*(Лист2!$B$2:$B$505=Лист1!B441),Лист2!$E$2:$E$505)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cm="1">
        <f t="array" ref="E442">_xlfn.XLOOKUP(1,(Лист2!$A$2:$A$505=Лист1!A442)*(Лист2!$B$2:$B$505=Лист1!B442),Лист2!$C$2:$C$505)</f>
        <v>36</v>
      </c>
      <c r="F442" cm="1">
        <f t="array" ref="F442">_xlfn.XLOOKUP(1,(Лист2!$A$2:$A$505=Лист1!A442)*(Лист2!$B$2:$B$505=Лист1!B442),Лист2!$D$2:$D$505)</f>
        <v>4285</v>
      </c>
      <c r="G442" cm="1">
        <f t="array" ref="G442">_xlfn.XLOOKUP(1,(Лист2!$A$2:$A$505=Лист1!A442)*(Лист2!$B$2:$B$505=Лист1!B442),Лист2!$E$2:$E$505)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cm="1">
        <f t="array" ref="E443">_xlfn.XLOOKUP(1,(Лист2!$A$2:$A$505=Лист1!A443)*(Лист2!$B$2:$B$505=Лист1!B443),Лист2!$C$2:$C$505)</f>
        <v>36</v>
      </c>
      <c r="F443" cm="1">
        <f t="array" ref="F443">_xlfn.XLOOKUP(1,(Лист2!$A$2:$A$505=Лист1!A443)*(Лист2!$B$2:$B$505=Лист1!B443),Лист2!$D$2:$D$505)</f>
        <v>4862</v>
      </c>
      <c r="G443" cm="1">
        <f t="array" ref="G443">_xlfn.XLOOKUP(1,(Лист2!$A$2:$A$505=Лист1!A443)*(Лист2!$B$2:$B$505=Лист1!B443),Лист2!$E$2:$E$505)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cm="1">
        <f t="array" ref="E444">_xlfn.XLOOKUP(1,(Лист2!$A$2:$A$505=Лист1!A444)*(Лист2!$B$2:$B$505=Лист1!B444),Лист2!$C$2:$C$505)</f>
        <v>21</v>
      </c>
      <c r="F444" cm="1">
        <f t="array" ref="F444">_xlfn.XLOOKUP(1,(Лист2!$A$2:$A$505=Лист1!A444)*(Лист2!$B$2:$B$505=Лист1!B444),Лист2!$D$2:$D$505)</f>
        <v>2430</v>
      </c>
      <c r="G444" cm="1">
        <f t="array" ref="G444">_xlfn.XLOOKUP(1,(Лист2!$A$2:$A$505=Лист1!A444)*(Лист2!$B$2:$B$505=Лист1!B444),Лист2!$E$2:$E$505)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cm="1">
        <f t="array" ref="E445">_xlfn.XLOOKUP(1,(Лист2!$A$2:$A$505=Лист1!A445)*(Лист2!$B$2:$B$505=Лист1!B445),Лист2!$C$2:$C$505)</f>
        <v>21</v>
      </c>
      <c r="F445" cm="1">
        <f t="array" ref="F445">_xlfn.XLOOKUP(1,(Лист2!$A$2:$A$505=Лист1!A445)*(Лист2!$B$2:$B$505=Лист1!B445),Лист2!$D$2:$D$505)</f>
        <v>2861</v>
      </c>
      <c r="G445" cm="1">
        <f t="array" ref="G445">_xlfn.XLOOKUP(1,(Лист2!$A$2:$A$505=Лист1!A445)*(Лист2!$B$2:$B$505=Лист1!B445),Лист2!$E$2:$E$505)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cm="1">
        <f t="array" ref="E446">_xlfn.XLOOKUP(1,(Лист2!$A$2:$A$505=Лист1!A446)*(Лист2!$B$2:$B$505=Лист1!B446),Лист2!$C$2:$C$505)</f>
        <v>23</v>
      </c>
      <c r="F446" cm="1">
        <f t="array" ref="F446">_xlfn.XLOOKUP(1,(Лист2!$A$2:$A$505=Лист1!A446)*(Лист2!$B$2:$B$505=Лист1!B446),Лист2!$D$2:$D$505)</f>
        <v>2531</v>
      </c>
      <c r="G446" cm="1">
        <f t="array" ref="G446">_xlfn.XLOOKUP(1,(Лист2!$A$2:$A$505=Лист1!A446)*(Лист2!$B$2:$B$505=Лист1!B446),Лист2!$E$2:$E$505)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cm="1">
        <f t="array" ref="E447">_xlfn.XLOOKUP(1,(Лист2!$A$2:$A$505=Лист1!A447)*(Лист2!$B$2:$B$505=Лист1!B447),Лист2!$C$2:$C$505)</f>
        <v>21</v>
      </c>
      <c r="F447" cm="1">
        <f t="array" ref="F447">_xlfn.XLOOKUP(1,(Лист2!$A$2:$A$505=Лист1!A447)*(Лист2!$B$2:$B$505=Лист1!B447),Лист2!$D$2:$D$505)</f>
        <v>1916</v>
      </c>
      <c r="G447" cm="1">
        <f t="array" ref="G447">_xlfn.XLOOKUP(1,(Лист2!$A$2:$A$505=Лист1!A447)*(Лист2!$B$2:$B$505=Лист1!B447),Лист2!$E$2:$E$505)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cm="1">
        <f t="array" ref="E448">_xlfn.XLOOKUP(1,(Лист2!$A$2:$A$505=Лист1!A448)*(Лист2!$B$2:$B$505=Лист1!B448),Лист2!$C$2:$C$505)</f>
        <v>37</v>
      </c>
      <c r="F448" cm="1">
        <f t="array" ref="F448">_xlfn.XLOOKUP(1,(Лист2!$A$2:$A$505=Лист1!A448)*(Лист2!$B$2:$B$505=Лист1!B448),Лист2!$D$2:$D$505)</f>
        <v>5672</v>
      </c>
      <c r="G448" cm="1">
        <f t="array" ref="G448">_xlfn.XLOOKUP(1,(Лист2!$A$2:$A$505=Лист1!A448)*(Лист2!$B$2:$B$505=Лист1!B448),Лист2!$E$2:$E$505)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cm="1">
        <f t="array" ref="E449">_xlfn.XLOOKUP(1,(Лист2!$A$2:$A$505=Лист1!A449)*(Лист2!$B$2:$B$505=Лист1!B449),Лист2!$C$2:$C$505)</f>
        <v>21</v>
      </c>
      <c r="F449" cm="1">
        <f t="array" ref="F449">_xlfn.XLOOKUP(1,(Лист2!$A$2:$A$505=Лист1!A449)*(Лист2!$B$2:$B$505=Лист1!B449),Лист2!$D$2:$D$505)</f>
        <v>2136</v>
      </c>
      <c r="G449" cm="1">
        <f t="array" ref="G449">_xlfn.XLOOKUP(1,(Лист2!$A$2:$A$505=Лист1!A449)*(Лист2!$B$2:$B$505=Лист1!B449),Лист2!$E$2:$E$505)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cm="1">
        <f t="array" ref="E450">_xlfn.XLOOKUP(1,(Лист2!$A$2:$A$505=Лист1!A450)*(Лист2!$B$2:$B$505=Лист1!B450),Лист2!$C$2:$C$505)</f>
        <v>21</v>
      </c>
      <c r="F450" cm="1">
        <f t="array" ref="F450">_xlfn.XLOOKUP(1,(Лист2!$A$2:$A$505=Лист1!A450)*(Лист2!$B$2:$B$505=Лист1!B450),Лист2!$D$2:$D$505)</f>
        <v>1993</v>
      </c>
      <c r="G450" cm="1">
        <f t="array" ref="G450">_xlfn.XLOOKUP(1,(Лист2!$A$2:$A$505=Лист1!A450)*(Лист2!$B$2:$B$505=Лист1!B450),Лист2!$E$2:$E$505)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cm="1">
        <f t="array" ref="E451">_xlfn.XLOOKUP(1,(Лист2!$A$2:$A$505=Лист1!A451)*(Лист2!$B$2:$B$505=Лист1!B451),Лист2!$C$2:$C$505)</f>
        <v>21</v>
      </c>
      <c r="F451" cm="1">
        <f t="array" ref="F451">_xlfn.XLOOKUP(1,(Лист2!$A$2:$A$505=Лист1!A451)*(Лист2!$B$2:$B$505=Лист1!B451),Лист2!$D$2:$D$505)</f>
        <v>2255</v>
      </c>
      <c r="G451" cm="1">
        <f t="array" ref="G451">_xlfn.XLOOKUP(1,(Лист2!$A$2:$A$505=Лист1!A451)*(Лист2!$B$2:$B$505=Лист1!B451),Лист2!$E$2:$E$505)</f>
        <v>2045</v>
      </c>
      <c r="H451">
        <f t="shared" ref="H451:H505" si="14">D451/E451</f>
        <v>179631.35714285713</v>
      </c>
      <c r="I451">
        <f t="shared" ref="I451:I505" si="15">WEEKNUM(A451, 2)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cm="1">
        <f t="array" ref="E452">_xlfn.XLOOKUP(1,(Лист2!$A$2:$A$505=Лист1!A452)*(Лист2!$B$2:$B$505=Лист1!B452),Лист2!$C$2:$C$505)</f>
        <v>22</v>
      </c>
      <c r="F452" cm="1">
        <f t="array" ref="F452">_xlfn.XLOOKUP(1,(Лист2!$A$2:$A$505=Лист1!A452)*(Лист2!$B$2:$B$505=Лист1!B452),Лист2!$D$2:$D$505)</f>
        <v>2597</v>
      </c>
      <c r="G452" cm="1">
        <f t="array" ref="G452">_xlfn.XLOOKUP(1,(Лист2!$A$2:$A$505=Лист1!A452)*(Лист2!$B$2:$B$505=Лист1!B452),Лист2!$E$2:$E$505)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cm="1">
        <f t="array" ref="E453">_xlfn.XLOOKUP(1,(Лист2!$A$2:$A$505=Лист1!A453)*(Лист2!$B$2:$B$505=Лист1!B453),Лист2!$C$2:$C$505)</f>
        <v>17</v>
      </c>
      <c r="F453" cm="1">
        <f t="array" ref="F453">_xlfn.XLOOKUP(1,(Лист2!$A$2:$A$505=Лист1!A453)*(Лист2!$B$2:$B$505=Лист1!B453),Лист2!$D$2:$D$505)</f>
        <v>1203</v>
      </c>
      <c r="G453" cm="1">
        <f t="array" ref="G453">_xlfn.XLOOKUP(1,(Лист2!$A$2:$A$505=Лист1!A453)*(Лист2!$B$2:$B$505=Лист1!B453),Лист2!$E$2:$E$505)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cm="1">
        <f t="array" ref="E454">_xlfn.XLOOKUP(1,(Лист2!$A$2:$A$505=Лист1!A454)*(Лист2!$B$2:$B$505=Лист1!B454),Лист2!$C$2:$C$505)</f>
        <v>17</v>
      </c>
      <c r="F454" cm="1">
        <f t="array" ref="F454">_xlfn.XLOOKUP(1,(Лист2!$A$2:$A$505=Лист1!A454)*(Лист2!$B$2:$B$505=Лист1!B454),Лист2!$D$2:$D$505)</f>
        <v>1268</v>
      </c>
      <c r="G454" cm="1">
        <f t="array" ref="G454">_xlfn.XLOOKUP(1,(Лист2!$A$2:$A$505=Лист1!A454)*(Лист2!$B$2:$B$505=Лист1!B454),Лист2!$E$2:$E$505)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cm="1">
        <f t="array" ref="E455">_xlfn.XLOOKUP(1,(Лист2!$A$2:$A$505=Лист1!A455)*(Лист2!$B$2:$B$505=Лист1!B455),Лист2!$C$2:$C$505)</f>
        <v>17</v>
      </c>
      <c r="F455" cm="1">
        <f t="array" ref="F455">_xlfn.XLOOKUP(1,(Лист2!$A$2:$A$505=Лист1!A455)*(Лист2!$B$2:$B$505=Лист1!B455),Лист2!$D$2:$D$505)</f>
        <v>1185</v>
      </c>
      <c r="G455" cm="1">
        <f t="array" ref="G455">_xlfn.XLOOKUP(1,(Лист2!$A$2:$A$505=Лист1!A455)*(Лист2!$B$2:$B$505=Лист1!B455),Лист2!$E$2:$E$505)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cm="1">
        <f t="array" ref="E456">_xlfn.XLOOKUP(1,(Лист2!$A$2:$A$505=Лист1!A456)*(Лист2!$B$2:$B$505=Лист1!B456),Лист2!$C$2:$C$505)</f>
        <v>15</v>
      </c>
      <c r="F456" cm="1">
        <f t="array" ref="F456">_xlfn.XLOOKUP(1,(Лист2!$A$2:$A$505=Лист1!A456)*(Лист2!$B$2:$B$505=Лист1!B456),Лист2!$D$2:$D$505)</f>
        <v>812</v>
      </c>
      <c r="G456" cm="1">
        <f t="array" ref="G456">_xlfn.XLOOKUP(1,(Лист2!$A$2:$A$505=Лист1!A456)*(Лист2!$B$2:$B$505=Лист1!B456),Лист2!$E$2:$E$505)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cm="1">
        <f t="array" ref="E457">_xlfn.XLOOKUP(1,(Лист2!$A$2:$A$505=Лист1!A457)*(Лист2!$B$2:$B$505=Лист1!B457),Лист2!$C$2:$C$505)</f>
        <v>16</v>
      </c>
      <c r="F457" cm="1">
        <f t="array" ref="F457">_xlfn.XLOOKUP(1,(Лист2!$A$2:$A$505=Лист1!A457)*(Лист2!$B$2:$B$505=Лист1!B457),Лист2!$D$2:$D$505)</f>
        <v>925</v>
      </c>
      <c r="G457" cm="1">
        <f t="array" ref="G457">_xlfn.XLOOKUP(1,(Лист2!$A$2:$A$505=Лист1!A457)*(Лист2!$B$2:$B$505=Лист1!B457),Лист2!$E$2:$E$505)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cm="1">
        <f t="array" ref="E458">_xlfn.XLOOKUP(1,(Лист2!$A$2:$A$505=Лист1!A458)*(Лист2!$B$2:$B$505=Лист1!B458),Лист2!$C$2:$C$505)</f>
        <v>15</v>
      </c>
      <c r="F458" cm="1">
        <f t="array" ref="F458">_xlfn.XLOOKUP(1,(Лист2!$A$2:$A$505=Лист1!A458)*(Лист2!$B$2:$B$505=Лист1!B458),Лист2!$D$2:$D$505)</f>
        <v>890</v>
      </c>
      <c r="G458" cm="1">
        <f t="array" ref="G458">_xlfn.XLOOKUP(1,(Лист2!$A$2:$A$505=Лист1!A458)*(Лист2!$B$2:$B$505=Лист1!B458),Лист2!$E$2:$E$505)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cm="1">
        <f t="array" ref="E459">_xlfn.XLOOKUP(1,(Лист2!$A$2:$A$505=Лист1!A459)*(Лист2!$B$2:$B$505=Лист1!B459),Лист2!$C$2:$C$505)</f>
        <v>15</v>
      </c>
      <c r="F459" cm="1">
        <f t="array" ref="F459">_xlfn.XLOOKUP(1,(Лист2!$A$2:$A$505=Лист1!A459)*(Лист2!$B$2:$B$505=Лист1!B459),Лист2!$D$2:$D$505)</f>
        <v>980</v>
      </c>
      <c r="G459" cm="1">
        <f t="array" ref="G459">_xlfn.XLOOKUP(1,(Лист2!$A$2:$A$505=Лист1!A459)*(Лист2!$B$2:$B$505=Лист1!B459),Лист2!$E$2:$E$505)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cm="1">
        <f t="array" ref="E460">_xlfn.XLOOKUP(1,(Лист2!$A$2:$A$505=Лист1!A460)*(Лист2!$B$2:$B$505=Лист1!B460),Лист2!$C$2:$C$505)</f>
        <v>15</v>
      </c>
      <c r="F460" cm="1">
        <f t="array" ref="F460">_xlfn.XLOOKUP(1,(Лист2!$A$2:$A$505=Лист1!A460)*(Лист2!$B$2:$B$505=Лист1!B460),Лист2!$D$2:$D$505)</f>
        <v>809</v>
      </c>
      <c r="G460" cm="1">
        <f t="array" ref="G460">_xlfn.XLOOKUP(1,(Лист2!$A$2:$A$505=Лист1!A460)*(Лист2!$B$2:$B$505=Лист1!B460),Лист2!$E$2:$E$505)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cm="1">
        <f t="array" ref="E461">_xlfn.XLOOKUP(1,(Лист2!$A$2:$A$505=Лист1!A461)*(Лист2!$B$2:$B$505=Лист1!B461),Лист2!$C$2:$C$505)</f>
        <v>15</v>
      </c>
      <c r="F461" cm="1">
        <f t="array" ref="F461">_xlfn.XLOOKUP(1,(Лист2!$A$2:$A$505=Лист1!A461)*(Лист2!$B$2:$B$505=Лист1!B461),Лист2!$D$2:$D$505)</f>
        <v>903</v>
      </c>
      <c r="G461" cm="1">
        <f t="array" ref="G461">_xlfn.XLOOKUP(1,(Лист2!$A$2:$A$505=Лист1!A461)*(Лист2!$B$2:$B$505=Лист1!B461),Лист2!$E$2:$E$505)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cm="1">
        <f t="array" ref="E462">_xlfn.XLOOKUP(1,(Лист2!$A$2:$A$505=Лист1!A462)*(Лист2!$B$2:$B$505=Лист1!B462),Лист2!$C$2:$C$505)</f>
        <v>16</v>
      </c>
      <c r="F462" cm="1">
        <f t="array" ref="F462">_xlfn.XLOOKUP(1,(Лист2!$A$2:$A$505=Лист1!A462)*(Лист2!$B$2:$B$505=Лист1!B462),Лист2!$D$2:$D$505)</f>
        <v>1019</v>
      </c>
      <c r="G462" cm="1">
        <f t="array" ref="G462">_xlfn.XLOOKUP(1,(Лист2!$A$2:$A$505=Лист1!A462)*(Лист2!$B$2:$B$505=Лист1!B462),Лист2!$E$2:$E$505)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cm="1">
        <f t="array" ref="E463">_xlfn.XLOOKUP(1,(Лист2!$A$2:$A$505=Лист1!A463)*(Лист2!$B$2:$B$505=Лист1!B463),Лист2!$C$2:$C$505)</f>
        <v>15</v>
      </c>
      <c r="F463" cm="1">
        <f t="array" ref="F463">_xlfn.XLOOKUP(1,(Лист2!$A$2:$A$505=Лист1!A463)*(Лист2!$B$2:$B$505=Лист1!B463),Лист2!$D$2:$D$505)</f>
        <v>684</v>
      </c>
      <c r="G463" cm="1">
        <f t="array" ref="G463">_xlfn.XLOOKUP(1,(Лист2!$A$2:$A$505=Лист1!A463)*(Лист2!$B$2:$B$505=Лист1!B463),Лист2!$E$2:$E$505)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cm="1">
        <f t="array" ref="E464">_xlfn.XLOOKUP(1,(Лист2!$A$2:$A$505=Лист1!A464)*(Лист2!$B$2:$B$505=Лист1!B464),Лист2!$C$2:$C$505)</f>
        <v>17</v>
      </c>
      <c r="F464" cm="1">
        <f t="array" ref="F464">_xlfn.XLOOKUP(1,(Лист2!$A$2:$A$505=Лист1!A464)*(Лист2!$B$2:$B$505=Лист1!B464),Лист2!$D$2:$D$505)</f>
        <v>1296</v>
      </c>
      <c r="G464" cm="1">
        <f t="array" ref="G464">_xlfn.XLOOKUP(1,(Лист2!$A$2:$A$505=Лист1!A464)*(Лист2!$B$2:$B$505=Лист1!B464),Лист2!$E$2:$E$505)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cm="1">
        <f t="array" ref="E465">_xlfn.XLOOKUP(1,(Лист2!$A$2:$A$505=Лист1!A465)*(Лист2!$B$2:$B$505=Лист1!B465),Лист2!$C$2:$C$505)</f>
        <v>15</v>
      </c>
      <c r="F465" cm="1">
        <f t="array" ref="F465">_xlfn.XLOOKUP(1,(Лист2!$A$2:$A$505=Лист1!A465)*(Лист2!$B$2:$B$505=Лист1!B465),Лист2!$D$2:$D$505)</f>
        <v>729</v>
      </c>
      <c r="G465" cm="1">
        <f t="array" ref="G465">_xlfn.XLOOKUP(1,(Лист2!$A$2:$A$505=Лист1!A465)*(Лист2!$B$2:$B$505=Лист1!B465),Лист2!$E$2:$E$505)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cm="1">
        <f t="array" ref="E466">_xlfn.XLOOKUP(1,(Лист2!$A$2:$A$505=Лист1!A466)*(Лист2!$B$2:$B$505=Лист1!B466),Лист2!$C$2:$C$505)</f>
        <v>15</v>
      </c>
      <c r="F466" cm="1">
        <f t="array" ref="F466">_xlfn.XLOOKUP(1,(Лист2!$A$2:$A$505=Лист1!A466)*(Лист2!$B$2:$B$505=Лист1!B466),Лист2!$D$2:$D$505)</f>
        <v>638</v>
      </c>
      <c r="G466" cm="1">
        <f t="array" ref="G466">_xlfn.XLOOKUP(1,(Лист2!$A$2:$A$505=Лист1!A466)*(Лист2!$B$2:$B$505=Лист1!B466),Лист2!$E$2:$E$505)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cm="1">
        <f t="array" ref="E467">_xlfn.XLOOKUP(1,(Лист2!$A$2:$A$505=Лист1!A467)*(Лист2!$B$2:$B$505=Лист1!B467),Лист2!$C$2:$C$505)</f>
        <v>15</v>
      </c>
      <c r="F467" cm="1">
        <f t="array" ref="F467">_xlfn.XLOOKUP(1,(Лист2!$A$2:$A$505=Лист1!A467)*(Лист2!$B$2:$B$505=Лист1!B467),Лист2!$D$2:$D$505)</f>
        <v>688</v>
      </c>
      <c r="G467" cm="1">
        <f t="array" ref="G467">_xlfn.XLOOKUP(1,(Лист2!$A$2:$A$505=Лист1!A467)*(Лист2!$B$2:$B$505=Лист1!B467),Лист2!$E$2:$E$505)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cm="1">
        <f t="array" ref="E468">_xlfn.XLOOKUP(1,(Лист2!$A$2:$A$505=Лист1!A468)*(Лист2!$B$2:$B$505=Лист1!B468),Лист2!$C$2:$C$505)</f>
        <v>20</v>
      </c>
      <c r="F468" cm="1">
        <f t="array" ref="F468">_xlfn.XLOOKUP(1,(Лист2!$A$2:$A$505=Лист1!A468)*(Лист2!$B$2:$B$505=Лист1!B468),Лист2!$D$2:$D$505)</f>
        <v>1873</v>
      </c>
      <c r="G468" cm="1">
        <f t="array" ref="G468">_xlfn.XLOOKUP(1,(Лист2!$A$2:$A$505=Лист1!A468)*(Лист2!$B$2:$B$505=Лист1!B468),Лист2!$E$2:$E$505)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cm="1">
        <f t="array" ref="E469">_xlfn.XLOOKUP(1,(Лист2!$A$2:$A$505=Лист1!A469)*(Лист2!$B$2:$B$505=Лист1!B469),Лист2!$C$2:$C$505)</f>
        <v>19</v>
      </c>
      <c r="F469" cm="1">
        <f t="array" ref="F469">_xlfn.XLOOKUP(1,(Лист2!$A$2:$A$505=Лист1!A469)*(Лист2!$B$2:$B$505=Лист1!B469),Лист2!$D$2:$D$505)</f>
        <v>1859</v>
      </c>
      <c r="G469" cm="1">
        <f t="array" ref="G469">_xlfn.XLOOKUP(1,(Лист2!$A$2:$A$505=Лист1!A469)*(Лист2!$B$2:$B$505=Лист1!B469),Лист2!$E$2:$E$505)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cm="1">
        <f t="array" ref="E470">_xlfn.XLOOKUP(1,(Лист2!$A$2:$A$505=Лист1!A470)*(Лист2!$B$2:$B$505=Лист1!B470),Лист2!$C$2:$C$505)</f>
        <v>21</v>
      </c>
      <c r="F470" cm="1">
        <f t="array" ref="F470">_xlfn.XLOOKUP(1,(Лист2!$A$2:$A$505=Лист1!A470)*(Лист2!$B$2:$B$505=Лист1!B470),Лист2!$D$2:$D$505)</f>
        <v>1879</v>
      </c>
      <c r="G470" cm="1">
        <f t="array" ref="G470">_xlfn.XLOOKUP(1,(Лист2!$A$2:$A$505=Лист1!A470)*(Лист2!$B$2:$B$505=Лист1!B470),Лист2!$E$2:$E$505)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cm="1">
        <f t="array" ref="E471">_xlfn.XLOOKUP(1,(Лист2!$A$2:$A$505=Лист1!A471)*(Лист2!$B$2:$B$505=Лист1!B471),Лист2!$C$2:$C$505)</f>
        <v>19</v>
      </c>
      <c r="F471" cm="1">
        <f t="array" ref="F471">_xlfn.XLOOKUP(1,(Лист2!$A$2:$A$505=Лист1!A471)*(Лист2!$B$2:$B$505=Лист1!B471),Лист2!$D$2:$D$505)</f>
        <v>1527</v>
      </c>
      <c r="G471" cm="1">
        <f t="array" ref="G471">_xlfn.XLOOKUP(1,(Лист2!$A$2:$A$505=Лист1!A471)*(Лист2!$B$2:$B$505=Лист1!B471),Лист2!$E$2:$E$505)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cm="1">
        <f t="array" ref="E472">_xlfn.XLOOKUP(1,(Лист2!$A$2:$A$505=Лист1!A472)*(Лист2!$B$2:$B$505=Лист1!B472),Лист2!$C$2:$C$505)</f>
        <v>16</v>
      </c>
      <c r="F472" cm="1">
        <f t="array" ref="F472">_xlfn.XLOOKUP(1,(Лист2!$A$2:$A$505=Лист1!A472)*(Лист2!$B$2:$B$505=Лист1!B472),Лист2!$D$2:$D$505)</f>
        <v>981</v>
      </c>
      <c r="G472" cm="1">
        <f t="array" ref="G472">_xlfn.XLOOKUP(1,(Лист2!$A$2:$A$505=Лист1!A472)*(Лист2!$B$2:$B$505=Лист1!B472),Лист2!$E$2:$E$505)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cm="1">
        <f t="array" ref="E473">_xlfn.XLOOKUP(1,(Лист2!$A$2:$A$505=Лист1!A473)*(Лист2!$B$2:$B$505=Лист1!B473),Лист2!$C$2:$C$505)</f>
        <v>19</v>
      </c>
      <c r="F473" cm="1">
        <f t="array" ref="F473">_xlfn.XLOOKUP(1,(Лист2!$A$2:$A$505=Лист1!A473)*(Лист2!$B$2:$B$505=Лист1!B473),Лист2!$D$2:$D$505)</f>
        <v>1741</v>
      </c>
      <c r="G473" cm="1">
        <f t="array" ref="G473">_xlfn.XLOOKUP(1,(Лист2!$A$2:$A$505=Лист1!A473)*(Лист2!$B$2:$B$505=Лист1!B473),Лист2!$E$2:$E$505)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cm="1">
        <f t="array" ref="E474">_xlfn.XLOOKUP(1,(Лист2!$A$2:$A$505=Лист1!A474)*(Лист2!$B$2:$B$505=Лист1!B474),Лист2!$C$2:$C$505)</f>
        <v>19</v>
      </c>
      <c r="F474" cm="1">
        <f t="array" ref="F474">_xlfn.XLOOKUP(1,(Лист2!$A$2:$A$505=Лист1!A474)*(Лист2!$B$2:$B$505=Лист1!B474),Лист2!$D$2:$D$505)</f>
        <v>1635</v>
      </c>
      <c r="G474" cm="1">
        <f t="array" ref="G474">_xlfn.XLOOKUP(1,(Лист2!$A$2:$A$505=Лист1!A474)*(Лист2!$B$2:$B$505=Лист1!B474),Лист2!$E$2:$E$505)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cm="1">
        <f t="array" ref="E475">_xlfn.XLOOKUP(1,(Лист2!$A$2:$A$505=Лист1!A475)*(Лист2!$B$2:$B$505=Лист1!B475),Лист2!$C$2:$C$505)</f>
        <v>19</v>
      </c>
      <c r="F475" cm="1">
        <f t="array" ref="F475">_xlfn.XLOOKUP(1,(Лист2!$A$2:$A$505=Лист1!A475)*(Лист2!$B$2:$B$505=Лист1!B475),Лист2!$D$2:$D$505)</f>
        <v>1780</v>
      </c>
      <c r="G475" cm="1">
        <f t="array" ref="G475">_xlfn.XLOOKUP(1,(Лист2!$A$2:$A$505=Лист1!A475)*(Лист2!$B$2:$B$505=Лист1!B475),Лист2!$E$2:$E$505)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cm="1">
        <f t="array" ref="E476">_xlfn.XLOOKUP(1,(Лист2!$A$2:$A$505=Лист1!A476)*(Лист2!$B$2:$B$505=Лист1!B476),Лист2!$C$2:$C$505)</f>
        <v>20</v>
      </c>
      <c r="F476" cm="1">
        <f t="array" ref="F476">_xlfn.XLOOKUP(1,(Лист2!$A$2:$A$505=Лист1!A476)*(Лист2!$B$2:$B$505=Лист1!B476),Лист2!$D$2:$D$505)</f>
        <v>2064</v>
      </c>
      <c r="G476" cm="1">
        <f t="array" ref="G476">_xlfn.XLOOKUP(1,(Лист2!$A$2:$A$505=Лист1!A476)*(Лист2!$B$2:$B$505=Лист1!B476),Лист2!$E$2:$E$505)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cm="1">
        <f t="array" ref="E477">_xlfn.XLOOKUP(1,(Лист2!$A$2:$A$505=Лист1!A477)*(Лист2!$B$2:$B$505=Лист1!B477),Лист2!$C$2:$C$505)</f>
        <v>59</v>
      </c>
      <c r="F477" cm="1">
        <f t="array" ref="F477">_xlfn.XLOOKUP(1,(Лист2!$A$2:$A$505=Лист1!A477)*(Лист2!$B$2:$B$505=Лист1!B477),Лист2!$D$2:$D$505)</f>
        <v>13942</v>
      </c>
      <c r="G477" cm="1">
        <f t="array" ref="G477">_xlfn.XLOOKUP(1,(Лист2!$A$2:$A$505=Лист1!A477)*(Лист2!$B$2:$B$505=Лист1!B477),Лист2!$E$2:$E$505)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cm="1">
        <f t="array" ref="E478">_xlfn.XLOOKUP(1,(Лист2!$A$2:$A$505=Лист1!A478)*(Лист2!$B$2:$B$505=Лист1!B478),Лист2!$C$2:$C$505)</f>
        <v>60</v>
      </c>
      <c r="F478" cm="1">
        <f t="array" ref="F478">_xlfn.XLOOKUP(1,(Лист2!$A$2:$A$505=Лист1!A478)*(Лист2!$B$2:$B$505=Лист1!B478),Лист2!$D$2:$D$505)</f>
        <v>14050</v>
      </c>
      <c r="G478" cm="1">
        <f t="array" ref="G478">_xlfn.XLOOKUP(1,(Лист2!$A$2:$A$505=Лист1!A478)*(Лист2!$B$2:$B$505=Лист1!B478),Лист2!$E$2:$E$505)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cm="1">
        <f t="array" ref="E479">_xlfn.XLOOKUP(1,(Лист2!$A$2:$A$505=Лист1!A479)*(Лист2!$B$2:$B$505=Лист1!B479),Лист2!$C$2:$C$505)</f>
        <v>59</v>
      </c>
      <c r="F479" cm="1">
        <f t="array" ref="F479">_xlfn.XLOOKUP(1,(Лист2!$A$2:$A$505=Лист1!A479)*(Лист2!$B$2:$B$505=Лист1!B479),Лист2!$D$2:$D$505)</f>
        <v>12299</v>
      </c>
      <c r="G479" cm="1">
        <f t="array" ref="G479">_xlfn.XLOOKUP(1,(Лист2!$A$2:$A$505=Лист1!A479)*(Лист2!$B$2:$B$505=Лист1!B479),Лист2!$E$2:$E$505)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cm="1">
        <f t="array" ref="E480">_xlfn.XLOOKUP(1,(Лист2!$A$2:$A$505=Лист1!A480)*(Лист2!$B$2:$B$505=Лист1!B480),Лист2!$C$2:$C$505)</f>
        <v>60</v>
      </c>
      <c r="F480" cm="1">
        <f t="array" ref="F480">_xlfn.XLOOKUP(1,(Лист2!$A$2:$A$505=Лист1!A480)*(Лист2!$B$2:$B$505=Лист1!B480),Лист2!$D$2:$D$505)</f>
        <v>11100</v>
      </c>
      <c r="G480" cm="1">
        <f t="array" ref="G480">_xlfn.XLOOKUP(1,(Лист2!$A$2:$A$505=Лист1!A480)*(Лист2!$B$2:$B$505=Лист1!B480),Лист2!$E$2:$E$505)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cm="1">
        <f t="array" ref="E481">_xlfn.XLOOKUP(1,(Лист2!$A$2:$A$505=Лист1!A481)*(Лист2!$B$2:$B$505=Лист1!B481),Лист2!$C$2:$C$505)</f>
        <v>60</v>
      </c>
      <c r="F481" cm="1">
        <f t="array" ref="F481">_xlfn.XLOOKUP(1,(Лист2!$A$2:$A$505=Лист1!A481)*(Лист2!$B$2:$B$505=Лист1!B481),Лист2!$D$2:$D$505)</f>
        <v>12460</v>
      </c>
      <c r="G481" cm="1">
        <f t="array" ref="G481">_xlfn.XLOOKUP(1,(Лист2!$A$2:$A$505=Лист1!A481)*(Лист2!$B$2:$B$505=Лист1!B481),Лист2!$E$2:$E$505)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cm="1">
        <f t="array" ref="E482">_xlfn.XLOOKUP(1,(Лист2!$A$2:$A$505=Лист1!A482)*(Лист2!$B$2:$B$505=Лист1!B482),Лист2!$C$2:$C$505)</f>
        <v>60</v>
      </c>
      <c r="F482" cm="1">
        <f t="array" ref="F482">_xlfn.XLOOKUP(1,(Лист2!$A$2:$A$505=Лист1!A482)*(Лист2!$B$2:$B$505=Лист1!B482),Лист2!$D$2:$D$505)</f>
        <v>11935</v>
      </c>
      <c r="G482" cm="1">
        <f t="array" ref="G482">_xlfn.XLOOKUP(1,(Лист2!$A$2:$A$505=Лист1!A482)*(Лист2!$B$2:$B$505=Лист1!B482),Лист2!$E$2:$E$505)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cm="1">
        <f t="array" ref="E483">_xlfn.XLOOKUP(1,(Лист2!$A$2:$A$505=Лист1!A483)*(Лист2!$B$2:$B$505=Лист1!B483),Лист2!$C$2:$C$505)</f>
        <v>60</v>
      </c>
      <c r="F483" cm="1">
        <f t="array" ref="F483">_xlfn.XLOOKUP(1,(Лист2!$A$2:$A$505=Лист1!A483)*(Лист2!$B$2:$B$505=Лист1!B483),Лист2!$D$2:$D$505)</f>
        <v>13544</v>
      </c>
      <c r="G483" cm="1">
        <f t="array" ref="G483">_xlfn.XLOOKUP(1,(Лист2!$A$2:$A$505=Лист1!A483)*(Лист2!$B$2:$B$505=Лист1!B483),Лист2!$E$2:$E$505)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cm="1">
        <f t="array" ref="E484">_xlfn.XLOOKUP(1,(Лист2!$A$2:$A$505=Лист1!A484)*(Лист2!$B$2:$B$505=Лист1!B484),Лист2!$C$2:$C$505)</f>
        <v>54</v>
      </c>
      <c r="F484" cm="1">
        <f t="array" ref="F484">_xlfn.XLOOKUP(1,(Лист2!$A$2:$A$505=Лист1!A484)*(Лист2!$B$2:$B$505=Лист1!B484),Лист2!$D$2:$D$505)</f>
        <v>13091</v>
      </c>
      <c r="G484" cm="1">
        <f t="array" ref="G484">_xlfn.XLOOKUP(1,(Лист2!$A$2:$A$505=Лист1!A484)*(Лист2!$B$2:$B$505=Лист1!B484),Лист2!$E$2:$E$505)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cm="1">
        <f t="array" ref="E485">_xlfn.XLOOKUP(1,(Лист2!$A$2:$A$505=Лист1!A485)*(Лист2!$B$2:$B$505=Лист1!B485),Лист2!$C$2:$C$505)</f>
        <v>54</v>
      </c>
      <c r="F485" cm="1">
        <f t="array" ref="F485">_xlfn.XLOOKUP(1,(Лист2!$A$2:$A$505=Лист1!A485)*(Лист2!$B$2:$B$505=Лист1!B485),Лист2!$D$2:$D$505)</f>
        <v>13014</v>
      </c>
      <c r="G485" cm="1">
        <f t="array" ref="G485">_xlfn.XLOOKUP(1,(Лист2!$A$2:$A$505=Лист1!A485)*(Лист2!$B$2:$B$505=Лист1!B485),Лист2!$E$2:$E$505)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cm="1">
        <f t="array" ref="E486">_xlfn.XLOOKUP(1,(Лист2!$A$2:$A$505=Лист1!A486)*(Лист2!$B$2:$B$505=Лист1!B486),Лист2!$C$2:$C$505)</f>
        <v>54</v>
      </c>
      <c r="F486" cm="1">
        <f t="array" ref="F486">_xlfn.XLOOKUP(1,(Лист2!$A$2:$A$505=Лист1!A486)*(Лист2!$B$2:$B$505=Лист1!B486),Лист2!$D$2:$D$505)</f>
        <v>11864</v>
      </c>
      <c r="G486" cm="1">
        <f t="array" ref="G486">_xlfn.XLOOKUP(1,(Лист2!$A$2:$A$505=Лист1!A486)*(Лист2!$B$2:$B$505=Лист1!B486),Лист2!$E$2:$E$505)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cm="1">
        <f t="array" ref="E487">_xlfn.XLOOKUP(1,(Лист2!$A$2:$A$505=Лист1!A487)*(Лист2!$B$2:$B$505=Лист1!B487),Лист2!$C$2:$C$505)</f>
        <v>54</v>
      </c>
      <c r="F487" cm="1">
        <f t="array" ref="F487">_xlfn.XLOOKUP(1,(Лист2!$A$2:$A$505=Лист1!A487)*(Лист2!$B$2:$B$505=Лист1!B487),Лист2!$D$2:$D$505)</f>
        <v>10570</v>
      </c>
      <c r="G487" cm="1">
        <f t="array" ref="G487">_xlfn.XLOOKUP(1,(Лист2!$A$2:$A$505=Лист1!A487)*(Лист2!$B$2:$B$505=Лист1!B487),Лист2!$E$2:$E$505)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cm="1">
        <f t="array" ref="E488">_xlfn.XLOOKUP(1,(Лист2!$A$2:$A$505=Лист1!A488)*(Лист2!$B$2:$B$505=Лист1!B488),Лист2!$C$2:$C$505)</f>
        <v>59</v>
      </c>
      <c r="F488" cm="1">
        <f t="array" ref="F488">_xlfn.XLOOKUP(1,(Лист2!$A$2:$A$505=Лист1!A488)*(Лист2!$B$2:$B$505=Лист1!B488),Лист2!$D$2:$D$505)</f>
        <v>14507</v>
      </c>
      <c r="G488" cm="1">
        <f t="array" ref="G488">_xlfn.XLOOKUP(1,(Лист2!$A$2:$A$505=Лист1!A488)*(Лист2!$B$2:$B$505=Лист1!B488),Лист2!$E$2:$E$505)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cm="1">
        <f t="array" ref="E489">_xlfn.XLOOKUP(1,(Лист2!$A$2:$A$505=Лист1!A489)*(Лист2!$B$2:$B$505=Лист1!B489),Лист2!$C$2:$C$505)</f>
        <v>54</v>
      </c>
      <c r="F489" cm="1">
        <f t="array" ref="F489">_xlfn.XLOOKUP(1,(Лист2!$A$2:$A$505=Лист1!A489)*(Лист2!$B$2:$B$505=Лист1!B489),Лист2!$D$2:$D$505)</f>
        <v>12012</v>
      </c>
      <c r="G489" cm="1">
        <f t="array" ref="G489">_xlfn.XLOOKUP(1,(Лист2!$A$2:$A$505=Лист1!A489)*(Лист2!$B$2:$B$505=Лист1!B489),Лист2!$E$2:$E$505)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cm="1">
        <f t="array" ref="E490">_xlfn.XLOOKUP(1,(Лист2!$A$2:$A$505=Лист1!A490)*(Лист2!$B$2:$B$505=Лист1!B490),Лист2!$C$2:$C$505)</f>
        <v>54</v>
      </c>
      <c r="F490" cm="1">
        <f t="array" ref="F490">_xlfn.XLOOKUP(1,(Лист2!$A$2:$A$505=Лист1!A490)*(Лист2!$B$2:$B$505=Лист1!B490),Лист2!$D$2:$D$505)</f>
        <v>11194</v>
      </c>
      <c r="G490" cm="1">
        <f t="array" ref="G490">_xlfn.XLOOKUP(1,(Лист2!$A$2:$A$505=Лист1!A490)*(Лист2!$B$2:$B$505=Лист1!B490),Лист2!$E$2:$E$505)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cm="1">
        <f t="array" ref="E491">_xlfn.XLOOKUP(1,(Лист2!$A$2:$A$505=Лист1!A491)*(Лист2!$B$2:$B$505=Лист1!B491),Лист2!$C$2:$C$505)</f>
        <v>54</v>
      </c>
      <c r="F491" cm="1">
        <f t="array" ref="F491">_xlfn.XLOOKUP(1,(Лист2!$A$2:$A$505=Лист1!A491)*(Лист2!$B$2:$B$505=Лист1!B491),Лист2!$D$2:$D$505)</f>
        <v>12791</v>
      </c>
      <c r="G491" cm="1">
        <f t="array" ref="G491">_xlfn.XLOOKUP(1,(Лист2!$A$2:$A$505=Лист1!A491)*(Лист2!$B$2:$B$505=Лист1!B491),Лист2!$E$2:$E$505)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cm="1">
        <f t="array" ref="E492">_xlfn.XLOOKUP(1,(Лист2!$A$2:$A$505=Лист1!A492)*(Лист2!$B$2:$B$505=Лист1!B492),Лист2!$C$2:$C$505)</f>
        <v>54</v>
      </c>
      <c r="F492" cm="1">
        <f t="array" ref="F492">_xlfn.XLOOKUP(1,(Лист2!$A$2:$A$505=Лист1!A492)*(Лист2!$B$2:$B$505=Лист1!B492),Лист2!$D$2:$D$505)</f>
        <v>14031</v>
      </c>
      <c r="G492" cm="1">
        <f t="array" ref="G492">_xlfn.XLOOKUP(1,(Лист2!$A$2:$A$505=Лист1!A492)*(Лист2!$B$2:$B$505=Лист1!B492),Лист2!$E$2:$E$505)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cm="1">
        <f t="array" ref="E493">_xlfn.XLOOKUP(1,(Лист2!$A$2:$A$505=Лист1!A493)*(Лист2!$B$2:$B$505=Лист1!B493),Лист2!$C$2:$C$505)</f>
        <v>7</v>
      </c>
      <c r="F493" cm="1">
        <f t="array" ref="F493">_xlfn.XLOOKUP(1,(Лист2!$A$2:$A$505=Лист1!A493)*(Лист2!$B$2:$B$505=Лист1!B493),Лист2!$D$2:$D$505)</f>
        <v>409</v>
      </c>
      <c r="G493" cm="1">
        <f t="array" ref="G493">_xlfn.XLOOKUP(1,(Лист2!$A$2:$A$505=Лист1!A493)*(Лист2!$B$2:$B$505=Лист1!B493),Лист2!$E$2:$E$505)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cm="1">
        <f t="array" ref="E494">_xlfn.XLOOKUP(1,(Лист2!$A$2:$A$505=Лист1!A494)*(Лист2!$B$2:$B$505=Лист1!B494),Лист2!$C$2:$C$505)</f>
        <v>18</v>
      </c>
      <c r="F494" cm="1">
        <f t="array" ref="F494">_xlfn.XLOOKUP(1,(Лист2!$A$2:$A$505=Лист1!A494)*(Лист2!$B$2:$B$505=Лист1!B494),Лист2!$D$2:$D$505)</f>
        <v>985</v>
      </c>
      <c r="G494" cm="1">
        <f t="array" ref="G494">_xlfn.XLOOKUP(1,(Лист2!$A$2:$A$505=Лист1!A494)*(Лист2!$B$2:$B$505=Лист1!B494),Лист2!$E$2:$E$505)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cm="1">
        <f t="array" ref="E495">_xlfn.XLOOKUP(1,(Лист2!$A$2:$A$505=Лист1!A495)*(Лист2!$B$2:$B$505=Лист1!B495),Лист2!$C$2:$C$505)</f>
        <v>9</v>
      </c>
      <c r="F495" cm="1">
        <f t="array" ref="F495">_xlfn.XLOOKUP(1,(Лист2!$A$2:$A$505=Лист1!A495)*(Лист2!$B$2:$B$505=Лист1!B495),Лист2!$D$2:$D$505)</f>
        <v>294</v>
      </c>
      <c r="G495" cm="1">
        <f t="array" ref="G495">_xlfn.XLOOKUP(1,(Лист2!$A$2:$A$505=Лист1!A495)*(Лист2!$B$2:$B$505=Лист1!B495),Лист2!$E$2:$E$505)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cm="1">
        <f t="array" ref="E496">_xlfn.XLOOKUP(1,(Лист2!$A$2:$A$505=Лист1!A496)*(Лист2!$B$2:$B$505=Лист1!B496),Лист2!$C$2:$C$505)</f>
        <v>15</v>
      </c>
      <c r="F496" cm="1">
        <f t="array" ref="F496">_xlfn.XLOOKUP(1,(Лист2!$A$2:$A$505=Лист1!A496)*(Лист2!$B$2:$B$505=Лист1!B496),Лист2!$D$2:$D$505)</f>
        <v>654</v>
      </c>
      <c r="G496" cm="1">
        <f t="array" ref="G496">_xlfn.XLOOKUP(1,(Лист2!$A$2:$A$505=Лист1!A496)*(Лист2!$B$2:$B$505=Лист1!B496),Лист2!$E$2:$E$505)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cm="1">
        <f t="array" ref="E497">_xlfn.XLOOKUP(1,(Лист2!$A$2:$A$505=Лист1!A497)*(Лист2!$B$2:$B$505=Лист1!B497),Лист2!$C$2:$C$505)</f>
        <v>16</v>
      </c>
      <c r="F497" cm="1">
        <f t="array" ref="F497">_xlfn.XLOOKUP(1,(Лист2!$A$2:$A$505=Лист1!A497)*(Лист2!$B$2:$B$505=Лист1!B497),Лист2!$D$2:$D$505)</f>
        <v>864</v>
      </c>
      <c r="G497" cm="1">
        <f t="array" ref="G497">_xlfn.XLOOKUP(1,(Лист2!$A$2:$A$505=Лист1!A497)*(Лист2!$B$2:$B$505=Лист1!B497),Лист2!$E$2:$E$505)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cm="1">
        <f t="array" ref="E498">_xlfn.XLOOKUP(1,(Лист2!$A$2:$A$505=Лист1!A498)*(Лист2!$B$2:$B$505=Лист1!B498),Лист2!$C$2:$C$505)</f>
        <v>16</v>
      </c>
      <c r="F498" cm="1">
        <f t="array" ref="F498">_xlfn.XLOOKUP(1,(Лист2!$A$2:$A$505=Лист1!A498)*(Лист2!$B$2:$B$505=Лист1!B498),Лист2!$D$2:$D$505)</f>
        <v>834</v>
      </c>
      <c r="G498" cm="1">
        <f t="array" ref="G498">_xlfn.XLOOKUP(1,(Лист2!$A$2:$A$505=Лист1!A498)*(Лист2!$B$2:$B$505=Лист1!B498),Лист2!$E$2:$E$505)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cm="1">
        <f t="array" ref="E499">_xlfn.XLOOKUP(1,(Лист2!$A$2:$A$505=Лист1!A499)*(Лист2!$B$2:$B$505=Лист1!B499),Лист2!$C$2:$C$505)</f>
        <v>16</v>
      </c>
      <c r="F499" cm="1">
        <f t="array" ref="F499">_xlfn.XLOOKUP(1,(Лист2!$A$2:$A$505=Лист1!A499)*(Лист2!$B$2:$B$505=Лист1!B499),Лист2!$D$2:$D$505)</f>
        <v>817</v>
      </c>
      <c r="G499" cm="1">
        <f t="array" ref="G499">_xlfn.XLOOKUP(1,(Лист2!$A$2:$A$505=Лист1!A499)*(Лист2!$B$2:$B$505=Лист1!B499),Лист2!$E$2:$E$505)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cm="1">
        <f t="array" ref="E500">_xlfn.XLOOKUP(1,(Лист2!$A$2:$A$505=Лист1!A500)*(Лист2!$B$2:$B$505=Лист1!B500),Лист2!$C$2:$C$505)</f>
        <v>18</v>
      </c>
      <c r="F500" cm="1">
        <f t="array" ref="F500">_xlfn.XLOOKUP(1,(Лист2!$A$2:$A$505=Лист1!A500)*(Лист2!$B$2:$B$505=Лист1!B500),Лист2!$D$2:$D$505)</f>
        <v>962</v>
      </c>
      <c r="G500" cm="1">
        <f t="array" ref="G500">_xlfn.XLOOKUP(1,(Лист2!$A$2:$A$505=Лист1!A500)*(Лист2!$B$2:$B$505=Лист1!B500),Лист2!$E$2:$E$505)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cm="1">
        <f t="array" ref="E501">_xlfn.XLOOKUP(1,(Лист2!$A$2:$A$505=Лист1!A501)*(Лист2!$B$2:$B$505=Лист1!B501),Лист2!$C$2:$C$505)</f>
        <v>6</v>
      </c>
      <c r="F501" cm="1">
        <f t="array" ref="F501">_xlfn.XLOOKUP(1,(Лист2!$A$2:$A$505=Лист1!A501)*(Лист2!$B$2:$B$505=Лист1!B501),Лист2!$D$2:$D$505)</f>
        <v>237</v>
      </c>
      <c r="G501" cm="1">
        <f t="array" ref="G501">_xlfn.XLOOKUP(1,(Лист2!$A$2:$A$505=Лист1!A501)*(Лист2!$B$2:$B$505=Лист1!B501),Лист2!$E$2:$E$505)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cm="1">
        <f t="array" ref="E502">_xlfn.XLOOKUP(1,(Лист2!$A$2:$A$505=Лист1!A502)*(Лист2!$B$2:$B$505=Лист1!B502),Лист2!$C$2:$C$505)</f>
        <v>7</v>
      </c>
      <c r="F502" cm="1">
        <f t="array" ref="F502">_xlfn.XLOOKUP(1,(Лист2!$A$2:$A$505=Лист1!A502)*(Лист2!$B$2:$B$505=Лист1!B502),Лист2!$D$2:$D$505)</f>
        <v>491</v>
      </c>
      <c r="G502" cm="1">
        <f t="array" ref="G502">_xlfn.XLOOKUP(1,(Лист2!$A$2:$A$505=Лист1!A502)*(Лист2!$B$2:$B$505=Лист1!B502),Лист2!$E$2:$E$505)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cm="1">
        <f t="array" ref="E503">_xlfn.XLOOKUP(1,(Лист2!$A$2:$A$505=Лист1!A503)*(Лист2!$B$2:$B$505=Лист1!B503),Лист2!$C$2:$C$505)</f>
        <v>7</v>
      </c>
      <c r="F503" cm="1">
        <f t="array" ref="F503">_xlfn.XLOOKUP(1,(Лист2!$A$2:$A$505=Лист1!A503)*(Лист2!$B$2:$B$505=Лист1!B503),Лист2!$D$2:$D$505)</f>
        <v>500</v>
      </c>
      <c r="G503" cm="1">
        <f t="array" ref="G503">_xlfn.XLOOKUP(1,(Лист2!$A$2:$A$505=Лист1!A503)*(Лист2!$B$2:$B$505=Лист1!B503),Лист2!$E$2:$E$505)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cm="1">
        <f t="array" ref="E504">_xlfn.XLOOKUP(1,(Лист2!$A$2:$A$505=Лист1!A504)*(Лист2!$B$2:$B$505=Лист1!B504),Лист2!$C$2:$C$505)</f>
        <v>18</v>
      </c>
      <c r="F504" cm="1">
        <f t="array" ref="F504">_xlfn.XLOOKUP(1,(Лист2!$A$2:$A$505=Лист1!A504)*(Лист2!$B$2:$B$505=Лист1!B504),Лист2!$D$2:$D$505)</f>
        <v>1014</v>
      </c>
      <c r="G504" cm="1">
        <f t="array" ref="G504">_xlfn.XLOOKUP(1,(Лист2!$A$2:$A$505=Лист1!A504)*(Лист2!$B$2:$B$505=Лист1!B504),Лист2!$E$2:$E$505)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cm="1">
        <f t="array" ref="E505">_xlfn.XLOOKUP(1,(Лист2!$A$2:$A$505=Лист1!A505)*(Лист2!$B$2:$B$505=Лист1!B505),Лист2!$C$2:$C$505)</f>
        <v>18</v>
      </c>
      <c r="F505" cm="1">
        <f t="array" ref="F505">_xlfn.XLOOKUP(1,(Лист2!$A$2:$A$505=Лист1!A505)*(Лист2!$B$2:$B$505=Лист1!B505),Лист2!$D$2:$D$505)</f>
        <v>923</v>
      </c>
      <c r="G505" cm="1">
        <f t="array" ref="G505">_xlfn.XLOOKUP(1,(Лист2!$A$2:$A$505=Лист1!A505)*(Лист2!$B$2:$B$505=Лист1!B505),Лист2!$E$2:$E$505)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3" sqref="E3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26B6-C6D3-49BF-8C79-CACF60A19ECF}">
  <dimension ref="A1:D23"/>
  <sheetViews>
    <sheetView workbookViewId="0">
      <selection activeCell="G12" sqref="G12"/>
    </sheetView>
  </sheetViews>
  <sheetFormatPr defaultRowHeight="14.4" x14ac:dyDescent="0.3"/>
  <cols>
    <col min="1" max="1" width="21" bestFit="1" customWidth="1"/>
    <col min="2" max="2" width="24.6640625" bestFit="1" customWidth="1"/>
    <col min="3" max="3" width="21" bestFit="1" customWidth="1"/>
    <col min="4" max="5" width="28.5546875" bestFit="1" customWidth="1"/>
  </cols>
  <sheetData>
    <row r="1" spans="1:4" x14ac:dyDescent="0.3">
      <c r="A1" s="17" t="s">
        <v>31</v>
      </c>
      <c r="B1" s="18"/>
      <c r="C1" s="19" t="s">
        <v>32</v>
      </c>
      <c r="D1" s="17"/>
    </row>
    <row r="2" spans="1:4" x14ac:dyDescent="0.3">
      <c r="C2" s="13" t="s">
        <v>8</v>
      </c>
      <c r="D2" s="14">
        <v>23</v>
      </c>
    </row>
    <row r="4" spans="1:4" x14ac:dyDescent="0.3">
      <c r="A4" s="13" t="s">
        <v>27</v>
      </c>
      <c r="B4" s="15" t="s">
        <v>29</v>
      </c>
      <c r="C4" s="13" t="s">
        <v>27</v>
      </c>
      <c r="D4" t="s">
        <v>30</v>
      </c>
    </row>
    <row r="5" spans="1:4" x14ac:dyDescent="0.3">
      <c r="A5" s="14" t="s">
        <v>15</v>
      </c>
      <c r="B5" s="16">
        <v>0.27823940999755076</v>
      </c>
      <c r="C5" s="14" t="s">
        <v>22</v>
      </c>
      <c r="D5" s="21">
        <v>350262.86111111112</v>
      </c>
    </row>
    <row r="6" spans="1:4" x14ac:dyDescent="0.3">
      <c r="A6" s="14" t="s">
        <v>14</v>
      </c>
      <c r="B6" s="16">
        <v>0.20869355411640439</v>
      </c>
      <c r="C6" s="14" t="s">
        <v>21</v>
      </c>
      <c r="D6" s="21">
        <v>329921.56779661018</v>
      </c>
    </row>
    <row r="7" spans="1:4" x14ac:dyDescent="0.3">
      <c r="A7" s="14" t="s">
        <v>21</v>
      </c>
      <c r="B7" s="16">
        <v>0.15600381182365852</v>
      </c>
      <c r="C7" s="14" t="s">
        <v>15</v>
      </c>
      <c r="D7" s="21">
        <v>302909.26976707316</v>
      </c>
    </row>
    <row r="8" spans="1:4" x14ac:dyDescent="0.3">
      <c r="A8" s="14" t="s">
        <v>22</v>
      </c>
      <c r="B8" s="16">
        <v>0.1487446586821162</v>
      </c>
      <c r="C8" s="14" t="s">
        <v>11</v>
      </c>
      <c r="D8" s="21">
        <v>220320.04838709679</v>
      </c>
    </row>
    <row r="9" spans="1:4" x14ac:dyDescent="0.3">
      <c r="A9" s="14" t="s">
        <v>11</v>
      </c>
      <c r="B9" s="16">
        <v>4.9051064796573195E-2</v>
      </c>
      <c r="C9" s="14" t="s">
        <v>14</v>
      </c>
      <c r="D9" s="21">
        <v>216953.84765625</v>
      </c>
    </row>
    <row r="10" spans="1:4" x14ac:dyDescent="0.3">
      <c r="A10" s="14" t="s">
        <v>16</v>
      </c>
      <c r="B10" s="16">
        <v>4.3930742911644949E-2</v>
      </c>
      <c r="C10" s="14" t="s">
        <v>17</v>
      </c>
      <c r="D10" s="21">
        <v>168054.39130434784</v>
      </c>
    </row>
    <row r="11" spans="1:4" x14ac:dyDescent="0.3">
      <c r="A11" s="14" t="s">
        <v>17</v>
      </c>
      <c r="B11" s="16">
        <v>2.4299497824621857E-2</v>
      </c>
      <c r="C11" s="14" t="s">
        <v>16</v>
      </c>
      <c r="D11" s="21">
        <v>156764.59459459459</v>
      </c>
    </row>
    <row r="12" spans="1:4" x14ac:dyDescent="0.3">
      <c r="A12" s="14" t="s">
        <v>10</v>
      </c>
      <c r="B12" s="16">
        <v>2.0488951132439048E-2</v>
      </c>
      <c r="C12" s="14" t="s">
        <v>13</v>
      </c>
      <c r="D12" s="21">
        <v>150675.6</v>
      </c>
    </row>
    <row r="13" spans="1:4" x14ac:dyDescent="0.3">
      <c r="A13" s="14" t="s">
        <v>13</v>
      </c>
      <c r="B13" s="16">
        <v>1.9263478180160522E-2</v>
      </c>
      <c r="C13" s="14" t="s">
        <v>10</v>
      </c>
      <c r="D13" s="21">
        <v>140239.78571428571</v>
      </c>
    </row>
    <row r="14" spans="1:4" x14ac:dyDescent="0.3">
      <c r="A14" s="14" t="s">
        <v>20</v>
      </c>
      <c r="B14" s="16">
        <v>1.7302774294285901E-2</v>
      </c>
      <c r="C14" s="14" t="s">
        <v>20</v>
      </c>
      <c r="D14" s="21">
        <v>120903.21428571429</v>
      </c>
    </row>
    <row r="15" spans="1:4" x14ac:dyDescent="0.3">
      <c r="A15" s="14" t="s">
        <v>18</v>
      </c>
      <c r="B15" s="16">
        <v>9.8346447456277158E-3</v>
      </c>
      <c r="C15" s="14" t="s">
        <v>24</v>
      </c>
      <c r="D15" s="21">
        <v>114635.35714285714</v>
      </c>
    </row>
    <row r="16" spans="1:4" x14ac:dyDescent="0.3">
      <c r="A16" s="14" t="s">
        <v>23</v>
      </c>
      <c r="B16" s="16">
        <v>8.2691776643069263E-3</v>
      </c>
      <c r="C16" s="14" t="s">
        <v>12</v>
      </c>
      <c r="D16" s="21">
        <v>100774.2</v>
      </c>
    </row>
    <row r="17" spans="1:4" x14ac:dyDescent="0.3">
      <c r="A17" s="14" t="s">
        <v>19</v>
      </c>
      <c r="B17" s="16">
        <v>7.016128111058147E-3</v>
      </c>
      <c r="C17" s="14" t="s">
        <v>19</v>
      </c>
      <c r="D17" s="21">
        <v>97852.03125</v>
      </c>
    </row>
    <row r="18" spans="1:4" x14ac:dyDescent="0.3">
      <c r="A18" s="14" t="s">
        <v>12</v>
      </c>
      <c r="B18" s="16">
        <v>6.6918903987886027E-3</v>
      </c>
      <c r="C18" s="14" t="s">
        <v>18</v>
      </c>
      <c r="D18" s="21">
        <v>89800.5</v>
      </c>
    </row>
    <row r="19" spans="1:4" x14ac:dyDescent="0.3">
      <c r="A19" s="14" t="s">
        <v>24</v>
      </c>
      <c r="B19" s="16">
        <v>1.1414240187458753E-3</v>
      </c>
      <c r="C19" s="14" t="s">
        <v>23</v>
      </c>
      <c r="D19" s="21">
        <v>71845.5</v>
      </c>
    </row>
    <row r="20" spans="1:4" x14ac:dyDescent="0.3">
      <c r="A20" s="14" t="s">
        <v>9</v>
      </c>
      <c r="B20" s="16">
        <v>6.735905954786441E-4</v>
      </c>
      <c r="C20" s="14" t="s">
        <v>26</v>
      </c>
      <c r="D20" s="21">
        <v>68482</v>
      </c>
    </row>
    <row r="21" spans="1:4" x14ac:dyDescent="0.3">
      <c r="A21" s="14" t="s">
        <v>25</v>
      </c>
      <c r="B21" s="16">
        <v>1.779206142441779E-4</v>
      </c>
      <c r="C21" s="14" t="s">
        <v>25</v>
      </c>
      <c r="D21" s="21">
        <v>43223.666666666664</v>
      </c>
    </row>
    <row r="22" spans="1:4" x14ac:dyDescent="0.3">
      <c r="A22" s="14" t="s">
        <v>26</v>
      </c>
      <c r="B22" s="16">
        <v>1.7728009229464408E-4</v>
      </c>
      <c r="C22" s="14" t="s">
        <v>9</v>
      </c>
      <c r="D22" s="21">
        <v>42423</v>
      </c>
    </row>
    <row r="23" spans="1:4" x14ac:dyDescent="0.3">
      <c r="A23" s="14" t="s">
        <v>28</v>
      </c>
      <c r="B23" s="16">
        <v>1</v>
      </c>
      <c r="C23" s="14" t="s">
        <v>28</v>
      </c>
      <c r="D23" s="21">
        <v>2786041.4356766078</v>
      </c>
    </row>
  </sheetData>
  <mergeCells count="2">
    <mergeCell ref="A1:B1"/>
    <mergeCell ref="C1:D1"/>
  </mergeCells>
  <conditionalFormatting pivot="1" sqref="B5:B22">
    <cfRule type="top10" dxfId="4" priority="2" rank="3"/>
  </conditionalFormatting>
  <conditionalFormatting pivot="1" sqref="D5:D22">
    <cfRule type="top10" dxfId="3" priority="1" rank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F042-3179-4A69-A60D-3DBF46CB2561}">
  <dimension ref="A3:D13"/>
  <sheetViews>
    <sheetView tabSelected="1" topLeftCell="A11" zoomScale="78" zoomScaleNormal="78" workbookViewId="0">
      <selection activeCell="T18" sqref="T18"/>
    </sheetView>
  </sheetViews>
  <sheetFormatPr defaultRowHeight="14.4" x14ac:dyDescent="0.3"/>
  <cols>
    <col min="1" max="1" width="13" customWidth="1"/>
    <col min="2" max="2" width="17.109375" customWidth="1"/>
    <col min="3" max="3" width="42.88671875" customWidth="1"/>
    <col min="4" max="4" width="28.5546875" bestFit="1" customWidth="1"/>
  </cols>
  <sheetData>
    <row r="3" spans="1:4" hidden="1" x14ac:dyDescent="0.3">
      <c r="A3" s="13" t="s">
        <v>27</v>
      </c>
      <c r="B3" t="s">
        <v>33</v>
      </c>
      <c r="C3" t="s">
        <v>34</v>
      </c>
      <c r="D3" t="s">
        <v>35</v>
      </c>
    </row>
    <row r="4" spans="1:4" hidden="1" x14ac:dyDescent="0.3">
      <c r="A4" s="14">
        <v>18</v>
      </c>
      <c r="B4" s="21">
        <v>836803032</v>
      </c>
      <c r="C4" s="21">
        <v>183538.89615147864</v>
      </c>
      <c r="D4" s="21">
        <v>249494.04651162791</v>
      </c>
    </row>
    <row r="5" spans="1:4" hidden="1" x14ac:dyDescent="0.3">
      <c r="A5" s="14">
        <v>19</v>
      </c>
      <c r="B5" s="21">
        <v>983915409.85664999</v>
      </c>
      <c r="C5" s="21">
        <v>181743.53575290408</v>
      </c>
      <c r="D5" s="21">
        <v>247401.41057496856</v>
      </c>
    </row>
    <row r="6" spans="1:4" hidden="1" x14ac:dyDescent="0.3">
      <c r="A6" s="14">
        <v>20</v>
      </c>
      <c r="B6" s="21">
        <v>947263006.72395003</v>
      </c>
      <c r="C6" s="21">
        <v>178616.64545407731</v>
      </c>
      <c r="D6" s="21">
        <v>237171.50894440411</v>
      </c>
    </row>
    <row r="7" spans="1:4" hidden="1" x14ac:dyDescent="0.3">
      <c r="A7" s="14">
        <v>21</v>
      </c>
      <c r="B7" s="21">
        <v>1002691883.0466</v>
      </c>
      <c r="C7" s="21">
        <v>191353.00752023421</v>
      </c>
      <c r="D7" s="21">
        <v>249425.8415538806</v>
      </c>
    </row>
    <row r="8" spans="1:4" hidden="1" x14ac:dyDescent="0.3">
      <c r="A8" s="14">
        <v>22</v>
      </c>
      <c r="B8" s="21">
        <v>1055653508.75385</v>
      </c>
      <c r="C8" s="21">
        <v>185990.79014875146</v>
      </c>
      <c r="D8" s="21">
        <v>254313.05920352926</v>
      </c>
    </row>
    <row r="9" spans="1:4" hidden="1" x14ac:dyDescent="0.3">
      <c r="A9" s="14">
        <v>23</v>
      </c>
      <c r="B9" s="21">
        <v>136032376.68134999</v>
      </c>
      <c r="C9" s="21">
        <v>154780.07975981152</v>
      </c>
      <c r="D9" s="21">
        <v>221190.85639243902</v>
      </c>
    </row>
    <row r="10" spans="1:4" hidden="1" x14ac:dyDescent="0.3">
      <c r="A10" s="14" t="s">
        <v>28</v>
      </c>
      <c r="B10" s="21">
        <v>4962359217.0623989</v>
      </c>
      <c r="C10" s="21">
        <v>183260.13954707855</v>
      </c>
      <c r="D10" s="21">
        <v>246748.50664126096</v>
      </c>
    </row>
    <row r="13" spans="1:4" x14ac:dyDescent="0.3">
      <c r="B13" s="20"/>
      <c r="C13" s="20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Сводная таблица</vt:lpstr>
      <vt:lpstr>Диаграмма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Елена Архангельская</cp:lastModifiedBy>
  <dcterms:created xsi:type="dcterms:W3CDTF">2021-09-13T10:17:58Z</dcterms:created>
  <dcterms:modified xsi:type="dcterms:W3CDTF">2026-06-28T06:58:11Z</dcterms:modified>
</cp:coreProperties>
</file>